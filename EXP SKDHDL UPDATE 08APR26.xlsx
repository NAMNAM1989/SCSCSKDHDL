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TOFFSCSC\"/>
    </mc:Choice>
  </mc:AlternateContent>
  <xr:revisionPtr revIDLastSave="0" documentId="13_ncr:1_{50BEF18E-2728-4FF1-B695-63E2508BD3B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62" i="1"/>
  <c r="E61" i="1"/>
  <c r="F22" i="1" l="1"/>
  <c r="F21" i="1"/>
  <c r="E21" i="1"/>
  <c r="I67" i="1" l="1"/>
  <c r="E67" i="1"/>
  <c r="I66" i="1" l="1"/>
  <c r="I23" i="1" l="1"/>
  <c r="E23" i="1" l="1"/>
  <c r="E34" i="1" l="1"/>
  <c r="E33" i="1"/>
  <c r="I17" i="1"/>
  <c r="H36" i="1" l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I35" i="1"/>
  <c r="E35" i="1"/>
  <c r="G64" i="1"/>
  <c r="G63" i="1"/>
  <c r="G65" i="1"/>
  <c r="G62" i="1"/>
  <c r="G61" i="1"/>
  <c r="I65" i="1" l="1"/>
  <c r="I64" i="1"/>
  <c r="I63" i="1"/>
  <c r="I62" i="1"/>
  <c r="I61" i="1"/>
  <c r="I28" i="1" l="1"/>
  <c r="E28" i="1"/>
  <c r="G26" i="1"/>
  <c r="F26" i="1"/>
  <c r="G25" i="1"/>
  <c r="F25" i="1"/>
  <c r="F24" i="1"/>
  <c r="G24" i="1"/>
  <c r="I26" i="1"/>
  <c r="E26" i="1"/>
  <c r="I16" i="1"/>
  <c r="I15" i="1"/>
  <c r="E15" i="1"/>
  <c r="I13" i="1"/>
  <c r="I14" i="1"/>
  <c r="I7" i="1"/>
  <c r="E7" i="1"/>
  <c r="E65" i="1" l="1"/>
  <c r="E64" i="1"/>
  <c r="E63" i="1"/>
  <c r="E59" i="1" l="1"/>
  <c r="I59" i="1"/>
  <c r="E60" i="1"/>
  <c r="I60" i="1"/>
  <c r="I33" i="1" l="1"/>
  <c r="I34" i="1"/>
  <c r="E31" i="1"/>
  <c r="E32" i="1"/>
  <c r="E29" i="1" l="1"/>
  <c r="E24" i="1"/>
  <c r="I24" i="1"/>
  <c r="I21" i="1"/>
  <c r="I32" i="1" l="1"/>
  <c r="E10" i="1"/>
  <c r="I10" i="1"/>
  <c r="I31" i="1" l="1"/>
  <c r="I6" i="1" l="1"/>
  <c r="I8" i="1"/>
  <c r="I19" i="1" l="1"/>
  <c r="I18" i="1"/>
  <c r="E19" i="1"/>
  <c r="E18" i="1"/>
  <c r="I25" i="1"/>
  <c r="E25" i="1"/>
  <c r="I20" i="1"/>
  <c r="E20" i="1"/>
  <c r="I22" i="1"/>
  <c r="I9" i="1"/>
  <c r="I11" i="1"/>
  <c r="I12" i="1"/>
  <c r="I30" i="1"/>
  <c r="I27" i="1" l="1"/>
  <c r="I29" i="1"/>
  <c r="E27" i="1" l="1"/>
  <c r="E22" i="1"/>
  <c r="E11" i="1"/>
  <c r="E12" i="1"/>
  <c r="E8" i="1"/>
  <c r="E9" i="1"/>
  <c r="E13" i="1"/>
  <c r="E14" i="1"/>
  <c r="E30" i="1"/>
  <c r="E6" i="1"/>
  <c r="P68" i="1" l="1"/>
  <c r="K68" i="1"/>
  <c r="L68" i="1"/>
  <c r="M68" i="1"/>
  <c r="N68" i="1"/>
  <c r="O68" i="1"/>
  <c r="J68" i="1"/>
</calcChain>
</file>

<file path=xl/sharedStrings.xml><?xml version="1.0" encoding="utf-8"?>
<sst xmlns="http://schemas.openxmlformats.org/spreadsheetml/2006/main" count="683" uniqueCount="136">
  <si>
    <t>Flt Nbr</t>
  </si>
  <si>
    <t>RTG</t>
  </si>
  <si>
    <t>STD</t>
  </si>
  <si>
    <t>A/C</t>
  </si>
  <si>
    <t>OPS DAYS</t>
  </si>
  <si>
    <t>Mon</t>
  </si>
  <si>
    <t>Tue</t>
  </si>
  <si>
    <t>Wed</t>
  </si>
  <si>
    <t>Thu</t>
  </si>
  <si>
    <t>Fri</t>
  </si>
  <si>
    <t>Sat</t>
  </si>
  <si>
    <t>Sun</t>
  </si>
  <si>
    <t>X</t>
  </si>
  <si>
    <t>SQ185</t>
  </si>
  <si>
    <t>SCSC/OPS/EXP</t>
  </si>
  <si>
    <t>B/U done
DOC out</t>
  </si>
  <si>
    <t>EK393</t>
  </si>
  <si>
    <t>TOTAL</t>
  </si>
  <si>
    <t>VJ811</t>
  </si>
  <si>
    <t>VJ803</t>
  </si>
  <si>
    <t>VJ862</t>
  </si>
  <si>
    <t>LD562</t>
  </si>
  <si>
    <t>CX764</t>
  </si>
  <si>
    <t>CX766</t>
  </si>
  <si>
    <t>SQ177</t>
  </si>
  <si>
    <t>JL750</t>
  </si>
  <si>
    <t>JL070</t>
  </si>
  <si>
    <t>SGN-SZX</t>
  </si>
  <si>
    <t>SGN-KUL</t>
  </si>
  <si>
    <t>SGN-BWN</t>
  </si>
  <si>
    <t>SGN-LUX</t>
  </si>
  <si>
    <t>SGN-HKG</t>
  </si>
  <si>
    <t>SGN-DXB</t>
  </si>
  <si>
    <t>SGN-HND</t>
  </si>
  <si>
    <t>SGN-NRT</t>
  </si>
  <si>
    <t>SGN-ICN</t>
  </si>
  <si>
    <t>SGN-XMN</t>
  </si>
  <si>
    <t>SGN-MEL</t>
  </si>
  <si>
    <t>SGN-SIN</t>
  </si>
  <si>
    <t>SGN-BKK</t>
  </si>
  <si>
    <t>SGN-TPE</t>
  </si>
  <si>
    <t>A320</t>
  </si>
  <si>
    <t>B747F</t>
  </si>
  <si>
    <t>B772</t>
  </si>
  <si>
    <t>B773</t>
  </si>
  <si>
    <t>B774</t>
  </si>
  <si>
    <t>B777F</t>
  </si>
  <si>
    <t>A300F</t>
  </si>
  <si>
    <t>B738</t>
  </si>
  <si>
    <t>B787</t>
  </si>
  <si>
    <t>B76Y</t>
  </si>
  <si>
    <t>SGN-CCU</t>
  </si>
  <si>
    <t>BI382</t>
  </si>
  <si>
    <t>BI384</t>
  </si>
  <si>
    <t>CV7856</t>
  </si>
  <si>
    <t>CV7955</t>
  </si>
  <si>
    <t>SGN-SYD</t>
  </si>
  <si>
    <t>VJ813</t>
  </si>
  <si>
    <t>VJ801</t>
  </si>
  <si>
    <t>VJ805</t>
  </si>
  <si>
    <t>VJ860</t>
  </si>
  <si>
    <t>VJ864</t>
  </si>
  <si>
    <t>VJ822</t>
  </si>
  <si>
    <t>VJ828</t>
  </si>
  <si>
    <t>SGN-KIX</t>
  </si>
  <si>
    <t>VJ840</t>
  </si>
  <si>
    <t>VJ825</t>
  </si>
  <si>
    <t>VJ893</t>
  </si>
  <si>
    <t>SGN-DPS</t>
  </si>
  <si>
    <t>B737</t>
  </si>
  <si>
    <t>MF842</t>
  </si>
  <si>
    <t>MF894</t>
  </si>
  <si>
    <t>A321</t>
  </si>
  <si>
    <t>VJ895</t>
  </si>
  <si>
    <t>VJ897</t>
  </si>
  <si>
    <t>SGN-DEL</t>
  </si>
  <si>
    <t>VJ883</t>
  </si>
  <si>
    <t>SGN-BOM</t>
  </si>
  <si>
    <t>VJ809</t>
  </si>
  <si>
    <t>VJ842</t>
  </si>
  <si>
    <t>VJ886</t>
  </si>
  <si>
    <t>SGN-KHH</t>
  </si>
  <si>
    <t>VJ876</t>
  </si>
  <si>
    <t>VJ081</t>
  </si>
  <si>
    <t>VJ085</t>
  </si>
  <si>
    <t>A330</t>
  </si>
  <si>
    <t>VJ083</t>
  </si>
  <si>
    <t>SGN-BNE</t>
  </si>
  <si>
    <t>VJ820</t>
  </si>
  <si>
    <t>TG551</t>
  </si>
  <si>
    <t>TG557</t>
  </si>
  <si>
    <t>REMARK</t>
  </si>
  <si>
    <t>LH8019</t>
  </si>
  <si>
    <t>LH8021</t>
  </si>
  <si>
    <t>3U3904</t>
  </si>
  <si>
    <t>3U3798</t>
  </si>
  <si>
    <t>SGN-NNG</t>
  </si>
  <si>
    <t>SGN-TFU</t>
  </si>
  <si>
    <t>QR975</t>
  </si>
  <si>
    <t>SGN-DOH</t>
  </si>
  <si>
    <t>QR971</t>
  </si>
  <si>
    <t>QR8969</t>
  </si>
  <si>
    <t>QR8971</t>
  </si>
  <si>
    <t>QR970</t>
  </si>
  <si>
    <t>SGN-PNH</t>
  </si>
  <si>
    <t>5X067</t>
  </si>
  <si>
    <t>5X168</t>
  </si>
  <si>
    <t>6E1642</t>
  </si>
  <si>
    <t>Cut-off
time for GEN</t>
  </si>
  <si>
    <t>Cut-off
time for PER</t>
  </si>
  <si>
    <t>MF8994</t>
  </si>
  <si>
    <t>B738F</t>
  </si>
  <si>
    <t>Cut-off
time for DOC</t>
  </si>
  <si>
    <t>SQ183</t>
  </si>
  <si>
    <t>N/A</t>
  </si>
  <si>
    <t>Final Croamis : -210</t>
  </si>
  <si>
    <t>Cut-off
time for transit</t>
  </si>
  <si>
    <t>EK365</t>
  </si>
  <si>
    <t>SGN-PVG-LAX</t>
  </si>
  <si>
    <t>SGN-HAN-FRA</t>
  </si>
  <si>
    <t>HT3824</t>
  </si>
  <si>
    <t>TH237</t>
  </si>
  <si>
    <t>B762</t>
  </si>
  <si>
    <t>O3318</t>
  </si>
  <si>
    <t>SUM2025 FLT SKD &amp; HDL</t>
  </si>
  <si>
    <t>tháng 11 ko bay thứ 3/5/7</t>
  </si>
  <si>
    <t>20:45</t>
  </si>
  <si>
    <t>CX3346</t>
  </si>
  <si>
    <t>X(03:05)</t>
  </si>
  <si>
    <t>X(20:50)</t>
  </si>
  <si>
    <t>TR503</t>
  </si>
  <si>
    <t>TR553</t>
  </si>
  <si>
    <t>TR517</t>
  </si>
  <si>
    <t>X(04:05)</t>
  </si>
  <si>
    <t>X(4:25)</t>
  </si>
  <si>
    <r>
      <rPr>
        <u/>
        <sz val="12"/>
        <color rgb="FF00B050"/>
        <rFont val="Arial"/>
        <family val="2"/>
      </rPr>
      <t>UPDATED 08APR26</t>
    </r>
    <r>
      <rPr>
        <b/>
        <sz val="12"/>
        <color rgb="FF00B050"/>
        <rFont val="Arial"/>
        <family val="2"/>
      </rPr>
      <t xml:space="preserve">                                          </t>
    </r>
    <r>
      <rPr>
        <u/>
        <sz val="12"/>
        <rFont val="Arial"/>
        <family val="2"/>
      </rPr>
      <t>INTERNAL USE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</si>
</sst>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2"/>
      <color rgb="FF00B050"/>
      <name val="Arial"/>
      <family val="2"/>
    </font>
    <font>
      <b/>
      <u/>
      <sz val="12"/>
      <color rgb="FF00B050"/>
      <name val="Arial"/>
      <family val="2"/>
    </font>
    <font>
      <b/>
      <sz val="12"/>
      <color rgb="FF00B050"/>
      <name val="Arial"/>
      <family val="2"/>
    </font>
    <font>
      <u/>
      <sz val="12"/>
      <name val="Arial"/>
      <family val="2"/>
    </font>
    <font>
      <b/>
      <sz val="15"/>
      <color rgb="FFC00000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  <font>
      <b/>
      <u/>
      <sz val="12"/>
      <color rgb="FF000000"/>
      <name val="Times New Roman"/>
      <family val="1"/>
    </font>
    <font>
      <sz val="11"/>
      <color theme="5" tint="-0.249977111117893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4" borderId="5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20" fontId="12" fillId="3" borderId="2" xfId="0" applyNumberFormat="1" applyFont="1" applyFill="1" applyBorder="1" applyAlignment="1">
      <alignment horizontal="center" vertical="center"/>
    </xf>
    <xf numFmtId="20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1" fontId="12" fillId="3" borderId="9" xfId="0" applyNumberFormat="1" applyFont="1" applyFill="1" applyBorder="1" applyAlignment="1">
      <alignment horizontal="left" vertical="center"/>
    </xf>
    <xf numFmtId="20" fontId="12" fillId="3" borderId="1" xfId="0" applyNumberFormat="1" applyFont="1" applyFill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left" vertical="center" wrapText="1"/>
    </xf>
    <xf numFmtId="20" fontId="12" fillId="3" borderId="1" xfId="0" applyNumberFormat="1" applyFont="1" applyFill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20" fontId="12" fillId="2" borderId="3" xfId="0" applyNumberFormat="1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20" fontId="12" fillId="3" borderId="2" xfId="0" applyNumberFormat="1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20" fontId="12" fillId="3" borderId="1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000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2"/>
  <sheetViews>
    <sheetView tabSelected="1" zoomScaleNormal="100" workbookViewId="0">
      <pane ySplit="5" topLeftCell="A6" activePane="bottomLeft" state="frozen"/>
      <selection pane="bottomLeft" activeCell="J11" sqref="J11"/>
    </sheetView>
  </sheetViews>
  <sheetFormatPr defaultColWidth="9.1796875" defaultRowHeight="14" x14ac:dyDescent="0.35"/>
  <cols>
    <col min="1" max="1" width="11" style="3" customWidth="1"/>
    <col min="2" max="2" width="15.08984375" style="1" customWidth="1"/>
    <col min="3" max="3" width="18.54296875" style="1" customWidth="1"/>
    <col min="4" max="4" width="12.54296875" style="1" customWidth="1"/>
    <col min="5" max="5" width="15.1796875" style="1" customWidth="1"/>
    <col min="6" max="6" width="15" style="1" customWidth="1"/>
    <col min="7" max="7" width="13.1796875" style="1" customWidth="1"/>
    <col min="8" max="8" width="12.90625" style="1" customWidth="1"/>
    <col min="9" max="9" width="18.453125" style="1" customWidth="1"/>
    <col min="10" max="16" width="13.36328125" style="1" customWidth="1"/>
    <col min="17" max="17" width="30.1796875" style="1" customWidth="1"/>
    <col min="18" max="16384" width="9.1796875" style="1"/>
  </cols>
  <sheetData>
    <row r="1" spans="1:17" ht="19" x14ac:dyDescent="0.35">
      <c r="A1" s="11" t="s">
        <v>124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7" x14ac:dyDescent="0.35">
      <c r="A2" s="12" t="s">
        <v>14</v>
      </c>
      <c r="B2" s="12"/>
      <c r="C2" s="12"/>
      <c r="D2" s="13" t="s">
        <v>135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7" ht="8.25" customHeight="1" thickBot="1" x14ac:dyDescent="0.4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7" ht="24.75" customHeight="1" x14ac:dyDescent="0.35">
      <c r="A4" s="14" t="s">
        <v>0</v>
      </c>
      <c r="B4" s="15" t="s">
        <v>3</v>
      </c>
      <c r="C4" s="15" t="s">
        <v>1</v>
      </c>
      <c r="D4" s="15" t="s">
        <v>2</v>
      </c>
      <c r="E4" s="15" t="s">
        <v>108</v>
      </c>
      <c r="F4" s="15" t="s">
        <v>109</v>
      </c>
      <c r="G4" s="15" t="s">
        <v>112</v>
      </c>
      <c r="H4" s="15" t="s">
        <v>116</v>
      </c>
      <c r="I4" s="15" t="s">
        <v>15</v>
      </c>
      <c r="J4" s="15" t="s">
        <v>4</v>
      </c>
      <c r="K4" s="15"/>
      <c r="L4" s="15"/>
      <c r="M4" s="15"/>
      <c r="N4" s="15"/>
      <c r="O4" s="15"/>
      <c r="P4" s="16"/>
      <c r="Q4" s="17"/>
    </row>
    <row r="5" spans="1:17" ht="24.75" customHeight="1" x14ac:dyDescent="0.35">
      <c r="A5" s="18"/>
      <c r="B5" s="19"/>
      <c r="C5" s="19"/>
      <c r="D5" s="19"/>
      <c r="E5" s="19"/>
      <c r="F5" s="19"/>
      <c r="G5" s="19"/>
      <c r="H5" s="19"/>
      <c r="I5" s="19"/>
      <c r="J5" s="20" t="s">
        <v>5</v>
      </c>
      <c r="K5" s="20" t="s">
        <v>6</v>
      </c>
      <c r="L5" s="20" t="s">
        <v>7</v>
      </c>
      <c r="M5" s="20" t="s">
        <v>8</v>
      </c>
      <c r="N5" s="20" t="s">
        <v>9</v>
      </c>
      <c r="O5" s="20" t="s">
        <v>10</v>
      </c>
      <c r="P5" s="21" t="s">
        <v>11</v>
      </c>
      <c r="Q5" s="22" t="s">
        <v>91</v>
      </c>
    </row>
    <row r="6" spans="1:17" ht="13.5" customHeight="1" x14ac:dyDescent="0.35">
      <c r="A6" s="23" t="s">
        <v>105</v>
      </c>
      <c r="B6" s="46" t="s">
        <v>50</v>
      </c>
      <c r="C6" s="46" t="s">
        <v>28</v>
      </c>
      <c r="D6" s="24">
        <v>0.19791666666666666</v>
      </c>
      <c r="E6" s="25">
        <f>D6-TIME(2,0,0)+24</f>
        <v>24.114583333333332</v>
      </c>
      <c r="F6" s="25" t="s">
        <v>114</v>
      </c>
      <c r="G6" s="25" t="s">
        <v>114</v>
      </c>
      <c r="H6" s="25" t="s">
        <v>114</v>
      </c>
      <c r="I6" s="25">
        <f>D6-TIME(1,45,0)+24</f>
        <v>24.125</v>
      </c>
      <c r="J6" s="26"/>
      <c r="K6" s="26" t="s">
        <v>12</v>
      </c>
      <c r="L6" s="26" t="s">
        <v>12</v>
      </c>
      <c r="M6" s="26" t="s">
        <v>12</v>
      </c>
      <c r="N6" s="26"/>
      <c r="O6" s="27"/>
      <c r="P6" s="28"/>
      <c r="Q6" s="29"/>
    </row>
    <row r="7" spans="1:17" ht="13.5" customHeight="1" x14ac:dyDescent="0.35">
      <c r="A7" s="23" t="s">
        <v>106</v>
      </c>
      <c r="B7" s="46" t="s">
        <v>50</v>
      </c>
      <c r="C7" s="46" t="s">
        <v>28</v>
      </c>
      <c r="D7" s="24">
        <v>0.86111111111111116</v>
      </c>
      <c r="E7" s="25">
        <f>D7-TIME(2,0,0)+24</f>
        <v>24.777777777777779</v>
      </c>
      <c r="F7" s="25" t="s">
        <v>114</v>
      </c>
      <c r="G7" s="25" t="s">
        <v>114</v>
      </c>
      <c r="H7" s="25" t="s">
        <v>114</v>
      </c>
      <c r="I7" s="25">
        <f>D7-TIME(1,45,0)+24</f>
        <v>24.788194444444443</v>
      </c>
      <c r="J7" s="26"/>
      <c r="K7" s="26"/>
      <c r="L7" s="26"/>
      <c r="M7" s="26"/>
      <c r="N7" s="26"/>
      <c r="O7" s="27"/>
      <c r="P7" s="28" t="s">
        <v>12</v>
      </c>
      <c r="Q7" s="29"/>
    </row>
    <row r="8" spans="1:17" ht="13.5" customHeight="1" x14ac:dyDescent="0.35">
      <c r="A8" s="30" t="s">
        <v>107</v>
      </c>
      <c r="B8" s="47" t="s">
        <v>41</v>
      </c>
      <c r="C8" s="47" t="s">
        <v>51</v>
      </c>
      <c r="D8" s="31">
        <v>0.1111111111111111</v>
      </c>
      <c r="E8" s="32">
        <f>D8-TIME(2,0,0)+24</f>
        <v>24.027777777777779</v>
      </c>
      <c r="F8" s="32" t="s">
        <v>114</v>
      </c>
      <c r="G8" s="32" t="s">
        <v>114</v>
      </c>
      <c r="H8" s="32" t="s">
        <v>114</v>
      </c>
      <c r="I8" s="32">
        <f>D8-TIME(1,45,0)+24</f>
        <v>24.038194444444443</v>
      </c>
      <c r="J8" s="33" t="s">
        <v>12</v>
      </c>
      <c r="K8" s="33" t="s">
        <v>12</v>
      </c>
      <c r="L8" s="33" t="s">
        <v>12</v>
      </c>
      <c r="M8" s="33" t="s">
        <v>12</v>
      </c>
      <c r="N8" s="33" t="s">
        <v>12</v>
      </c>
      <c r="O8" s="33" t="s">
        <v>12</v>
      </c>
      <c r="P8" s="34" t="s">
        <v>12</v>
      </c>
      <c r="Q8" s="29"/>
    </row>
    <row r="9" spans="1:17" ht="13.5" customHeight="1" x14ac:dyDescent="0.35">
      <c r="A9" s="35" t="s">
        <v>52</v>
      </c>
      <c r="B9" s="47" t="s">
        <v>41</v>
      </c>
      <c r="C9" s="47" t="s">
        <v>29</v>
      </c>
      <c r="D9" s="36">
        <v>0.59375</v>
      </c>
      <c r="E9" s="37">
        <f>D9-TIME(2,0,0)+24</f>
        <v>24.510416666666668</v>
      </c>
      <c r="F9" s="37" t="s">
        <v>114</v>
      </c>
      <c r="G9" s="37" t="s">
        <v>114</v>
      </c>
      <c r="H9" s="37" t="s">
        <v>114</v>
      </c>
      <c r="I9" s="37">
        <f>D9-TIME(1,45,0)+24</f>
        <v>24.520833333333332</v>
      </c>
      <c r="J9" s="33"/>
      <c r="K9" s="33" t="s">
        <v>12</v>
      </c>
      <c r="L9" s="33"/>
      <c r="M9" s="33" t="s">
        <v>12</v>
      </c>
      <c r="N9" s="33"/>
      <c r="O9" s="33"/>
      <c r="P9" s="34"/>
      <c r="Q9" s="29"/>
    </row>
    <row r="10" spans="1:17" ht="13.5" customHeight="1" x14ac:dyDescent="0.35">
      <c r="A10" s="35" t="s">
        <v>53</v>
      </c>
      <c r="B10" s="47" t="s">
        <v>41</v>
      </c>
      <c r="C10" s="47" t="s">
        <v>29</v>
      </c>
      <c r="D10" s="36">
        <v>0.85763888888888884</v>
      </c>
      <c r="E10" s="37">
        <f t="shared" ref="E10" si="0">D10-TIME(2,0,0)+24</f>
        <v>24.774305555555557</v>
      </c>
      <c r="F10" s="37" t="s">
        <v>114</v>
      </c>
      <c r="G10" s="37" t="s">
        <v>114</v>
      </c>
      <c r="H10" s="37" t="s">
        <v>114</v>
      </c>
      <c r="I10" s="37">
        <f>D10-TIME(1,45,0)+24</f>
        <v>24.784722222222221</v>
      </c>
      <c r="J10" s="33"/>
      <c r="K10" s="33"/>
      <c r="L10" s="33"/>
      <c r="M10" s="33"/>
      <c r="N10" s="33"/>
      <c r="O10" s="33"/>
      <c r="P10" s="34" t="s">
        <v>12</v>
      </c>
      <c r="Q10" s="29"/>
    </row>
    <row r="11" spans="1:17" ht="13.5" customHeight="1" x14ac:dyDescent="0.35">
      <c r="A11" s="35" t="s">
        <v>54</v>
      </c>
      <c r="B11" s="46" t="s">
        <v>42</v>
      </c>
      <c r="C11" s="46" t="s">
        <v>30</v>
      </c>
      <c r="D11" s="36">
        <v>5.9027777777777783E-2</v>
      </c>
      <c r="E11" s="32">
        <f t="shared" ref="E11:E12" si="1">D11-TIME(6,0,0)+24</f>
        <v>23.809027777777779</v>
      </c>
      <c r="F11" s="32" t="s">
        <v>114</v>
      </c>
      <c r="G11" s="32" t="s">
        <v>114</v>
      </c>
      <c r="H11" s="32" t="s">
        <v>114</v>
      </c>
      <c r="I11" s="32">
        <f t="shared" ref="I11:I12" si="2">D11-TIME(4,0,0)+24</f>
        <v>23.892361111111111</v>
      </c>
      <c r="J11" s="33"/>
      <c r="K11" s="33"/>
      <c r="L11" s="33"/>
      <c r="M11" s="33"/>
      <c r="N11" s="33"/>
      <c r="O11" s="33"/>
      <c r="P11" s="34" t="s">
        <v>12</v>
      </c>
      <c r="Q11" s="29"/>
    </row>
    <row r="12" spans="1:17" ht="13.5" customHeight="1" x14ac:dyDescent="0.35">
      <c r="A12" s="38" t="s">
        <v>55</v>
      </c>
      <c r="B12" s="46" t="s">
        <v>42</v>
      </c>
      <c r="C12" s="46" t="s">
        <v>30</v>
      </c>
      <c r="D12" s="31">
        <v>0.18055555555555555</v>
      </c>
      <c r="E12" s="32">
        <f t="shared" si="1"/>
        <v>23.930555555555557</v>
      </c>
      <c r="F12" s="32" t="s">
        <v>114</v>
      </c>
      <c r="G12" s="32" t="s">
        <v>114</v>
      </c>
      <c r="H12" s="32" t="s">
        <v>114</v>
      </c>
      <c r="I12" s="32">
        <f t="shared" si="2"/>
        <v>24.013888888888889</v>
      </c>
      <c r="J12" s="33"/>
      <c r="K12" s="33"/>
      <c r="L12" s="33"/>
      <c r="M12" s="33"/>
      <c r="N12" s="33" t="s">
        <v>12</v>
      </c>
      <c r="O12" s="33"/>
      <c r="P12" s="34"/>
      <c r="Q12" s="29"/>
    </row>
    <row r="13" spans="1:17" ht="13.5" customHeight="1" x14ac:dyDescent="0.35">
      <c r="A13" s="35" t="s">
        <v>22</v>
      </c>
      <c r="B13" s="47" t="s">
        <v>44</v>
      </c>
      <c r="C13" s="46" t="s">
        <v>31</v>
      </c>
      <c r="D13" s="36">
        <v>0.76388888888888884</v>
      </c>
      <c r="E13" s="32">
        <f>D13-TIME(2,0,0)+24</f>
        <v>24.680555555555557</v>
      </c>
      <c r="F13" s="32" t="s">
        <v>114</v>
      </c>
      <c r="G13" s="32" t="s">
        <v>114</v>
      </c>
      <c r="H13" s="32" t="s">
        <v>114</v>
      </c>
      <c r="I13" s="32">
        <f>D13-TIME(1,50,0)+24</f>
        <v>24.6875</v>
      </c>
      <c r="J13" s="33" t="s">
        <v>12</v>
      </c>
      <c r="K13" s="33" t="s">
        <v>12</v>
      </c>
      <c r="L13" s="33" t="s">
        <v>12</v>
      </c>
      <c r="M13" s="33" t="s">
        <v>12</v>
      </c>
      <c r="N13" s="33" t="s">
        <v>12</v>
      </c>
      <c r="O13" s="39" t="s">
        <v>12</v>
      </c>
      <c r="P13" s="34" t="s">
        <v>12</v>
      </c>
      <c r="Q13" s="40"/>
    </row>
    <row r="14" spans="1:17" ht="13.5" customHeight="1" x14ac:dyDescent="0.35">
      <c r="A14" s="35" t="s">
        <v>23</v>
      </c>
      <c r="B14" s="47" t="s">
        <v>44</v>
      </c>
      <c r="C14" s="46" t="s">
        <v>31</v>
      </c>
      <c r="D14" s="36">
        <v>0.46180555555555558</v>
      </c>
      <c r="E14" s="32">
        <f>D14-TIME(2,0,0)+24</f>
        <v>24.378472222222221</v>
      </c>
      <c r="F14" s="32" t="s">
        <v>114</v>
      </c>
      <c r="G14" s="32" t="s">
        <v>114</v>
      </c>
      <c r="H14" s="32" t="s">
        <v>114</v>
      </c>
      <c r="I14" s="32">
        <f>D14-TIME(1,45,0)+24</f>
        <v>24.388888888888889</v>
      </c>
      <c r="J14" s="33" t="s">
        <v>12</v>
      </c>
      <c r="K14" s="33" t="s">
        <v>12</v>
      </c>
      <c r="L14" s="33" t="s">
        <v>12</v>
      </c>
      <c r="M14" s="33" t="s">
        <v>12</v>
      </c>
      <c r="N14" s="33" t="s">
        <v>12</v>
      </c>
      <c r="O14" s="33" t="s">
        <v>12</v>
      </c>
      <c r="P14" s="34" t="s">
        <v>12</v>
      </c>
      <c r="Q14" s="29"/>
    </row>
    <row r="15" spans="1:17" ht="13.5" customHeight="1" x14ac:dyDescent="0.35">
      <c r="A15" s="35" t="s">
        <v>127</v>
      </c>
      <c r="B15" s="47" t="s">
        <v>42</v>
      </c>
      <c r="C15" s="46" t="s">
        <v>31</v>
      </c>
      <c r="D15" s="36">
        <v>9.375E-2</v>
      </c>
      <c r="E15" s="32">
        <f>D15-TIME(4,0,0)+24</f>
        <v>23.927083333333332</v>
      </c>
      <c r="F15" s="32" t="s">
        <v>114</v>
      </c>
      <c r="G15" s="32" t="s">
        <v>114</v>
      </c>
      <c r="H15" s="32" t="s">
        <v>114</v>
      </c>
      <c r="I15" s="32">
        <f>D15-TIME(2,55,0)+24</f>
        <v>23.972222222222221</v>
      </c>
      <c r="J15" s="33"/>
      <c r="K15" s="33"/>
      <c r="L15" s="33" t="s">
        <v>12</v>
      </c>
      <c r="M15" s="33"/>
      <c r="N15" s="33"/>
      <c r="O15" s="33"/>
      <c r="P15" s="34"/>
      <c r="Q15" s="29"/>
    </row>
    <row r="16" spans="1:17" s="6" customFormat="1" ht="15.75" customHeight="1" x14ac:dyDescent="0.35">
      <c r="A16" s="35" t="s">
        <v>16</v>
      </c>
      <c r="B16" s="47" t="s">
        <v>44</v>
      </c>
      <c r="C16" s="48" t="s">
        <v>32</v>
      </c>
      <c r="D16" s="31">
        <v>0.99652777777777779</v>
      </c>
      <c r="E16" s="32">
        <v>0.75</v>
      </c>
      <c r="F16" s="32" t="s">
        <v>114</v>
      </c>
      <c r="G16" s="32" t="s">
        <v>114</v>
      </c>
      <c r="H16" s="32" t="s">
        <v>114</v>
      </c>
      <c r="I16" s="32">
        <f>D16-TIME(2,50,0)+24</f>
        <v>24.878472222222221</v>
      </c>
      <c r="J16" s="33" t="s">
        <v>12</v>
      </c>
      <c r="K16" s="32" t="s">
        <v>12</v>
      </c>
      <c r="L16" s="32" t="s">
        <v>12</v>
      </c>
      <c r="M16" s="33" t="s">
        <v>12</v>
      </c>
      <c r="N16" s="33" t="s">
        <v>12</v>
      </c>
      <c r="O16" s="39" t="s">
        <v>12</v>
      </c>
      <c r="P16" s="41" t="s">
        <v>12</v>
      </c>
      <c r="Q16" s="29"/>
    </row>
    <row r="17" spans="1:18" s="6" customFormat="1" ht="15.75" customHeight="1" x14ac:dyDescent="0.35">
      <c r="A17" s="35" t="s">
        <v>117</v>
      </c>
      <c r="B17" s="47" t="s">
        <v>44</v>
      </c>
      <c r="C17" s="48" t="s">
        <v>32</v>
      </c>
      <c r="D17" s="31">
        <v>0.71527777777777779</v>
      </c>
      <c r="E17" s="32">
        <v>0.5</v>
      </c>
      <c r="F17" s="32" t="s">
        <v>114</v>
      </c>
      <c r="G17" s="32" t="s">
        <v>114</v>
      </c>
      <c r="H17" s="32" t="s">
        <v>114</v>
      </c>
      <c r="I17" s="32">
        <f>D17-TIME(2,50,0)+24</f>
        <v>24.597222222222221</v>
      </c>
      <c r="J17" s="33" t="s">
        <v>12</v>
      </c>
      <c r="K17" s="32" t="s">
        <v>12</v>
      </c>
      <c r="L17" s="32" t="s">
        <v>12</v>
      </c>
      <c r="M17" s="33" t="s">
        <v>12</v>
      </c>
      <c r="N17" s="33" t="s">
        <v>12</v>
      </c>
      <c r="O17" s="39" t="s">
        <v>12</v>
      </c>
      <c r="P17" s="41" t="s">
        <v>12</v>
      </c>
      <c r="Q17" s="29"/>
    </row>
    <row r="18" spans="1:18" ht="15.75" customHeight="1" x14ac:dyDescent="0.35">
      <c r="A18" s="35" t="s">
        <v>26</v>
      </c>
      <c r="B18" s="47" t="s">
        <v>49</v>
      </c>
      <c r="C18" s="47" t="s">
        <v>33</v>
      </c>
      <c r="D18" s="36">
        <v>0.97916666666666663</v>
      </c>
      <c r="E18" s="37">
        <f>D18-TIME(3,0,0)+24</f>
        <v>24.854166666666668</v>
      </c>
      <c r="F18" s="32" t="s">
        <v>114</v>
      </c>
      <c r="G18" s="32" t="s">
        <v>114</v>
      </c>
      <c r="H18" s="32" t="s">
        <v>114</v>
      </c>
      <c r="I18" s="37">
        <f>D18-TIME(1,45,0)+24</f>
        <v>24.90625</v>
      </c>
      <c r="J18" s="33" t="s">
        <v>12</v>
      </c>
      <c r="K18" s="33" t="s">
        <v>12</v>
      </c>
      <c r="L18" s="33" t="s">
        <v>12</v>
      </c>
      <c r="M18" s="33" t="s">
        <v>12</v>
      </c>
      <c r="N18" s="33" t="s">
        <v>12</v>
      </c>
      <c r="O18" s="33" t="s">
        <v>12</v>
      </c>
      <c r="P18" s="34" t="s">
        <v>12</v>
      </c>
      <c r="Q18" s="29"/>
    </row>
    <row r="19" spans="1:18" ht="15.75" customHeight="1" x14ac:dyDescent="0.35">
      <c r="A19" s="35" t="s">
        <v>25</v>
      </c>
      <c r="B19" s="47" t="s">
        <v>49</v>
      </c>
      <c r="C19" s="47" t="s">
        <v>34</v>
      </c>
      <c r="D19" s="36">
        <v>0.34722222222222227</v>
      </c>
      <c r="E19" s="37">
        <f>D19-TIME(3,0,0)+24</f>
        <v>24.222222222222221</v>
      </c>
      <c r="F19" s="32" t="s">
        <v>114</v>
      </c>
      <c r="G19" s="32" t="s">
        <v>114</v>
      </c>
      <c r="H19" s="32" t="s">
        <v>114</v>
      </c>
      <c r="I19" s="37">
        <f>D19-TIME(1,45,0)+24</f>
        <v>24.274305555555557</v>
      </c>
      <c r="J19" s="33" t="s">
        <v>12</v>
      </c>
      <c r="K19" s="33" t="s">
        <v>12</v>
      </c>
      <c r="L19" s="33" t="s">
        <v>12</v>
      </c>
      <c r="M19" s="33" t="s">
        <v>12</v>
      </c>
      <c r="N19" s="33" t="s">
        <v>12</v>
      </c>
      <c r="O19" s="39" t="s">
        <v>12</v>
      </c>
      <c r="P19" s="34" t="s">
        <v>12</v>
      </c>
      <c r="Q19" s="29"/>
    </row>
    <row r="20" spans="1:18" ht="15.75" customHeight="1" x14ac:dyDescent="0.35">
      <c r="A20" s="35" t="s">
        <v>21</v>
      </c>
      <c r="B20" s="47" t="s">
        <v>47</v>
      </c>
      <c r="C20" s="47" t="s">
        <v>31</v>
      </c>
      <c r="D20" s="36">
        <v>0.90972222222222221</v>
      </c>
      <c r="E20" s="37">
        <f>D20-TIME(4,0,0)+24</f>
        <v>24.743055555555557</v>
      </c>
      <c r="F20" s="33" t="s">
        <v>114</v>
      </c>
      <c r="G20" s="33" t="s">
        <v>114</v>
      </c>
      <c r="H20" s="33" t="s">
        <v>114</v>
      </c>
      <c r="I20" s="37">
        <f>D20-TIME(2,0,0)+24</f>
        <v>24.826388888888889</v>
      </c>
      <c r="J20" s="33" t="s">
        <v>12</v>
      </c>
      <c r="K20" s="33" t="s">
        <v>12</v>
      </c>
      <c r="L20" s="33" t="s">
        <v>12</v>
      </c>
      <c r="M20" s="33" t="s">
        <v>12</v>
      </c>
      <c r="N20" s="33" t="s">
        <v>12</v>
      </c>
      <c r="O20" s="39" t="s">
        <v>126</v>
      </c>
      <c r="P20" s="34"/>
      <c r="Q20" s="29"/>
    </row>
    <row r="21" spans="1:18" ht="15.75" customHeight="1" x14ac:dyDescent="0.35">
      <c r="A21" s="35" t="s">
        <v>93</v>
      </c>
      <c r="B21" s="47" t="s">
        <v>46</v>
      </c>
      <c r="C21" s="49" t="s">
        <v>119</v>
      </c>
      <c r="D21" s="36">
        <v>0.75347222222222221</v>
      </c>
      <c r="E21" s="37">
        <f>D21-TIME(3,0,0)+24</f>
        <v>24.628472222222221</v>
      </c>
      <c r="F21" s="37">
        <f>D21-TIME(6,0,0)+24</f>
        <v>24.503472222222221</v>
      </c>
      <c r="G21" s="37" t="s">
        <v>114</v>
      </c>
      <c r="H21" s="37" t="s">
        <v>114</v>
      </c>
      <c r="I21" s="37">
        <f>D21-TIME(4,0,0)+24</f>
        <v>24.586805555555557</v>
      </c>
      <c r="J21" s="33"/>
      <c r="K21" s="32" t="s">
        <v>12</v>
      </c>
      <c r="L21" s="32"/>
      <c r="M21" s="32"/>
      <c r="N21" s="33"/>
      <c r="O21" s="39" t="s">
        <v>128</v>
      </c>
      <c r="P21" s="41"/>
      <c r="Q21" s="29"/>
    </row>
    <row r="22" spans="1:18" ht="15.75" customHeight="1" x14ac:dyDescent="0.35">
      <c r="A22" s="35" t="s">
        <v>92</v>
      </c>
      <c r="B22" s="47" t="s">
        <v>46</v>
      </c>
      <c r="C22" s="49" t="s">
        <v>118</v>
      </c>
      <c r="D22" s="36">
        <v>0.84722222222222221</v>
      </c>
      <c r="E22" s="37">
        <f>D22-TIME(6,0,0)+24</f>
        <v>24.597222222222221</v>
      </c>
      <c r="F22" s="37">
        <f>D22-TIME(3,0,0)+24</f>
        <v>24.722222222222221</v>
      </c>
      <c r="G22" s="37" t="s">
        <v>114</v>
      </c>
      <c r="H22" s="37" t="s">
        <v>114</v>
      </c>
      <c r="I22" s="37">
        <f>D22-TIME(4,0,0)+24</f>
        <v>24.680555555555557</v>
      </c>
      <c r="J22" s="33"/>
      <c r="K22" s="32"/>
      <c r="L22" s="32"/>
      <c r="M22" s="32" t="s">
        <v>129</v>
      </c>
      <c r="N22" s="33"/>
      <c r="O22" s="39"/>
      <c r="P22" s="41" t="s">
        <v>12</v>
      </c>
      <c r="Q22" s="29"/>
    </row>
    <row r="23" spans="1:18" ht="15.75" customHeight="1" x14ac:dyDescent="0.35">
      <c r="A23" s="35" t="s">
        <v>121</v>
      </c>
      <c r="B23" s="47" t="s">
        <v>122</v>
      </c>
      <c r="C23" s="46" t="s">
        <v>28</v>
      </c>
      <c r="D23" s="36">
        <v>0.98611111111111116</v>
      </c>
      <c r="E23" s="37">
        <f>D23-TIME(6,0,0)+24</f>
        <v>24.736111111111111</v>
      </c>
      <c r="F23" s="37" t="s">
        <v>114</v>
      </c>
      <c r="G23" s="37" t="s">
        <v>114</v>
      </c>
      <c r="H23" s="37" t="s">
        <v>114</v>
      </c>
      <c r="I23" s="37">
        <f>D23-TIME(4,0,0)+24</f>
        <v>24.819444444444443</v>
      </c>
      <c r="J23" s="33"/>
      <c r="K23" s="32"/>
      <c r="L23" s="32"/>
      <c r="M23" s="32"/>
      <c r="N23" s="33"/>
      <c r="O23" s="39"/>
      <c r="P23" s="41" t="s">
        <v>12</v>
      </c>
      <c r="Q23" s="29"/>
    </row>
    <row r="24" spans="1:18" ht="15.75" customHeight="1" x14ac:dyDescent="0.35">
      <c r="A24" s="38" t="s">
        <v>70</v>
      </c>
      <c r="B24" s="46" t="s">
        <v>69</v>
      </c>
      <c r="C24" s="46" t="s">
        <v>36</v>
      </c>
      <c r="D24" s="31">
        <v>0.3298611111111111</v>
      </c>
      <c r="E24" s="32">
        <f>D24-TIME(4,0,0)+24</f>
        <v>24.163194444444443</v>
      </c>
      <c r="F24" s="32">
        <f>D24-TIME(3,0,0)+24</f>
        <v>24.204861111111111</v>
      </c>
      <c r="G24" s="32">
        <f>D24-TIME(1,60,0)+24</f>
        <v>24.246527777777779</v>
      </c>
      <c r="H24" s="37" t="s">
        <v>114</v>
      </c>
      <c r="I24" s="32">
        <f>D24-TIME(3,0,0)+24</f>
        <v>24.204861111111111</v>
      </c>
      <c r="J24" s="32" t="s">
        <v>12</v>
      </c>
      <c r="K24" s="32" t="s">
        <v>12</v>
      </c>
      <c r="L24" s="32" t="s">
        <v>12</v>
      </c>
      <c r="M24" s="32" t="s">
        <v>12</v>
      </c>
      <c r="N24" s="32" t="s">
        <v>12</v>
      </c>
      <c r="O24" s="32" t="s">
        <v>12</v>
      </c>
      <c r="P24" s="41" t="s">
        <v>12</v>
      </c>
      <c r="Q24" s="29"/>
    </row>
    <row r="25" spans="1:18" ht="15.75" customHeight="1" x14ac:dyDescent="0.35">
      <c r="A25" s="38" t="s">
        <v>71</v>
      </c>
      <c r="B25" s="46" t="s">
        <v>48</v>
      </c>
      <c r="C25" s="46" t="s">
        <v>36</v>
      </c>
      <c r="D25" s="31">
        <v>0.51736111111111105</v>
      </c>
      <c r="E25" s="32">
        <f>D25-TIME(4,0,0)+24</f>
        <v>24.350694444444443</v>
      </c>
      <c r="F25" s="32">
        <f>D25-TIME(3,0,0)+24</f>
        <v>24.392361111111111</v>
      </c>
      <c r="G25" s="32">
        <f>D25-TIME(1,60,0)+24</f>
        <v>24.434027777777779</v>
      </c>
      <c r="H25" s="37" t="s">
        <v>114</v>
      </c>
      <c r="I25" s="32">
        <f>D25-TIME(3,0,0)+24</f>
        <v>24.392361111111111</v>
      </c>
      <c r="J25" s="32" t="s">
        <v>12</v>
      </c>
      <c r="K25" s="32" t="s">
        <v>12</v>
      </c>
      <c r="L25" s="32" t="s">
        <v>12</v>
      </c>
      <c r="M25" s="32" t="s">
        <v>12</v>
      </c>
      <c r="N25" s="32" t="s">
        <v>12</v>
      </c>
      <c r="O25" s="32" t="s">
        <v>12</v>
      </c>
      <c r="P25" s="41" t="s">
        <v>12</v>
      </c>
      <c r="Q25" s="29"/>
    </row>
    <row r="26" spans="1:18" ht="15.75" customHeight="1" x14ac:dyDescent="0.35">
      <c r="A26" s="38" t="s">
        <v>110</v>
      </c>
      <c r="B26" s="46" t="s">
        <v>111</v>
      </c>
      <c r="C26" s="46" t="s">
        <v>36</v>
      </c>
      <c r="D26" s="31">
        <v>8.3333333333333329E-2</v>
      </c>
      <c r="E26" s="32">
        <f>D26-TIME(4,0,0)+24</f>
        <v>23.916666666666668</v>
      </c>
      <c r="F26" s="32">
        <f>D26-TIME(3,0,0)+24</f>
        <v>23.958333333333332</v>
      </c>
      <c r="G26" s="32">
        <f>D26-TIME(1,60,0)+24</f>
        <v>24</v>
      </c>
      <c r="H26" s="37" t="s">
        <v>114</v>
      </c>
      <c r="I26" s="32">
        <f>D26-TIME(3,0,0)+24</f>
        <v>23.958333333333332</v>
      </c>
      <c r="J26" s="32" t="s">
        <v>12</v>
      </c>
      <c r="K26" s="32"/>
      <c r="L26" s="32" t="s">
        <v>12</v>
      </c>
      <c r="M26" s="32"/>
      <c r="N26" s="32"/>
      <c r="O26" s="32"/>
      <c r="P26" s="41"/>
      <c r="Q26" s="42"/>
    </row>
    <row r="27" spans="1:18" ht="15.75" customHeight="1" x14ac:dyDescent="0.3">
      <c r="A27" s="35" t="s">
        <v>24</v>
      </c>
      <c r="B27" s="47" t="s">
        <v>43</v>
      </c>
      <c r="C27" s="47" t="s">
        <v>38</v>
      </c>
      <c r="D27" s="36">
        <v>0.51041666666666663</v>
      </c>
      <c r="E27" s="37">
        <f>D27-TIME(2,45,0)+24</f>
        <v>24.395833333333332</v>
      </c>
      <c r="F27" s="37" t="s">
        <v>114</v>
      </c>
      <c r="G27" s="37" t="s">
        <v>114</v>
      </c>
      <c r="H27" s="37" t="s">
        <v>114</v>
      </c>
      <c r="I27" s="37">
        <f>D27-TIME(2,0,0)+24</f>
        <v>24.427083333333332</v>
      </c>
      <c r="J27" s="33" t="s">
        <v>12</v>
      </c>
      <c r="K27" s="33" t="s">
        <v>12</v>
      </c>
      <c r="L27" s="33" t="s">
        <v>12</v>
      </c>
      <c r="M27" s="33" t="s">
        <v>12</v>
      </c>
      <c r="N27" s="33" t="s">
        <v>12</v>
      </c>
      <c r="O27" s="39" t="s">
        <v>12</v>
      </c>
      <c r="P27" s="34" t="s">
        <v>12</v>
      </c>
      <c r="Q27" s="29"/>
      <c r="R27" s="5"/>
    </row>
    <row r="28" spans="1:18" ht="15.75" customHeight="1" x14ac:dyDescent="0.3">
      <c r="A28" s="35" t="s">
        <v>113</v>
      </c>
      <c r="B28" s="47" t="s">
        <v>44</v>
      </c>
      <c r="C28" s="47" t="s">
        <v>38</v>
      </c>
      <c r="D28" s="36">
        <v>0.66319444444444442</v>
      </c>
      <c r="E28" s="37">
        <f>D28-TIME(2,45,0)+24</f>
        <v>24.548611111111111</v>
      </c>
      <c r="F28" s="37" t="s">
        <v>114</v>
      </c>
      <c r="G28" s="37" t="s">
        <v>114</v>
      </c>
      <c r="H28" s="37" t="s">
        <v>114</v>
      </c>
      <c r="I28" s="37">
        <f>D28-TIME(2,0,0)+24</f>
        <v>24.579861111111111</v>
      </c>
      <c r="J28" s="33" t="s">
        <v>12</v>
      </c>
      <c r="K28" s="33" t="s">
        <v>12</v>
      </c>
      <c r="L28" s="33" t="s">
        <v>12</v>
      </c>
      <c r="M28" s="33" t="s">
        <v>12</v>
      </c>
      <c r="N28" s="33" t="s">
        <v>12</v>
      </c>
      <c r="O28" s="39" t="s">
        <v>12</v>
      </c>
      <c r="P28" s="34" t="s">
        <v>12</v>
      </c>
      <c r="Q28" s="29"/>
      <c r="R28" s="5"/>
    </row>
    <row r="29" spans="1:18" ht="15.75" customHeight="1" x14ac:dyDescent="0.35">
      <c r="A29" s="35" t="s">
        <v>13</v>
      </c>
      <c r="B29" s="47" t="s">
        <v>45</v>
      </c>
      <c r="C29" s="47" t="s">
        <v>38</v>
      </c>
      <c r="D29" s="36">
        <v>0.81944444444444453</v>
      </c>
      <c r="E29" s="37">
        <f>D29-TIME(3,0,0)+24</f>
        <v>24.694444444444443</v>
      </c>
      <c r="F29" s="37" t="s">
        <v>114</v>
      </c>
      <c r="G29" s="37" t="s">
        <v>114</v>
      </c>
      <c r="H29" s="37" t="s">
        <v>114</v>
      </c>
      <c r="I29" s="37">
        <f>D29-TIME(2,0,0)+24</f>
        <v>24.736111111111111</v>
      </c>
      <c r="J29" s="33" t="s">
        <v>12</v>
      </c>
      <c r="K29" s="33" t="s">
        <v>12</v>
      </c>
      <c r="L29" s="33" t="s">
        <v>12</v>
      </c>
      <c r="M29" s="33" t="s">
        <v>12</v>
      </c>
      <c r="N29" s="33" t="s">
        <v>12</v>
      </c>
      <c r="O29" s="33" t="s">
        <v>12</v>
      </c>
      <c r="P29" s="34" t="s">
        <v>12</v>
      </c>
      <c r="Q29" s="29"/>
    </row>
    <row r="30" spans="1:18" ht="15" customHeight="1" x14ac:dyDescent="0.3">
      <c r="A30" s="35" t="s">
        <v>130</v>
      </c>
      <c r="B30" s="47" t="s">
        <v>41</v>
      </c>
      <c r="C30" s="47" t="s">
        <v>38</v>
      </c>
      <c r="D30" s="36">
        <v>0.38541666666666669</v>
      </c>
      <c r="E30" s="37">
        <f>D30-TIME(2,0,0)+24</f>
        <v>24.302083333333332</v>
      </c>
      <c r="F30" s="37" t="s">
        <v>114</v>
      </c>
      <c r="G30" s="37" t="s">
        <v>114</v>
      </c>
      <c r="H30" s="37" t="s">
        <v>114</v>
      </c>
      <c r="I30" s="37">
        <f>D30-TIME(1,45,0)+24</f>
        <v>24.3125</v>
      </c>
      <c r="J30" s="33" t="s">
        <v>12</v>
      </c>
      <c r="K30" s="33" t="s">
        <v>12</v>
      </c>
      <c r="L30" s="33" t="s">
        <v>12</v>
      </c>
      <c r="M30" s="33" t="s">
        <v>12</v>
      </c>
      <c r="N30" s="33" t="s">
        <v>12</v>
      </c>
      <c r="O30" s="39" t="s">
        <v>12</v>
      </c>
      <c r="P30" s="34" t="s">
        <v>12</v>
      </c>
      <c r="Q30" s="29"/>
      <c r="R30" s="5"/>
    </row>
    <row r="31" spans="1:18" ht="15" customHeight="1" x14ac:dyDescent="0.35">
      <c r="A31" s="35" t="s">
        <v>131</v>
      </c>
      <c r="B31" s="47" t="s">
        <v>41</v>
      </c>
      <c r="C31" s="47" t="s">
        <v>38</v>
      </c>
      <c r="D31" s="36">
        <v>0.65277777777777779</v>
      </c>
      <c r="E31" s="37">
        <f>D31-TIME(2,0,0)+24</f>
        <v>24.569444444444443</v>
      </c>
      <c r="F31" s="37" t="s">
        <v>114</v>
      </c>
      <c r="G31" s="37" t="s">
        <v>114</v>
      </c>
      <c r="H31" s="37" t="s">
        <v>114</v>
      </c>
      <c r="I31" s="37">
        <f>D31-TIME(1,45,0)+24</f>
        <v>24.579861111111111</v>
      </c>
      <c r="J31" s="33" t="s">
        <v>12</v>
      </c>
      <c r="K31" s="33" t="s">
        <v>12</v>
      </c>
      <c r="L31" s="33" t="s">
        <v>12</v>
      </c>
      <c r="M31" s="33" t="s">
        <v>12</v>
      </c>
      <c r="N31" s="33" t="s">
        <v>12</v>
      </c>
      <c r="O31" s="39" t="s">
        <v>12</v>
      </c>
      <c r="P31" s="34" t="s">
        <v>12</v>
      </c>
      <c r="Q31" s="29"/>
    </row>
    <row r="32" spans="1:18" ht="15" customHeight="1" x14ac:dyDescent="0.35">
      <c r="A32" s="35" t="s">
        <v>132</v>
      </c>
      <c r="B32" s="47" t="s">
        <v>41</v>
      </c>
      <c r="C32" s="47" t="s">
        <v>38</v>
      </c>
      <c r="D32" s="36">
        <v>0.76041666666666663</v>
      </c>
      <c r="E32" s="37">
        <f t="shared" ref="E32" si="3">D32-TIME(2,0,0)+24</f>
        <v>24.677083333333332</v>
      </c>
      <c r="F32" s="37" t="s">
        <v>114</v>
      </c>
      <c r="G32" s="37" t="s">
        <v>114</v>
      </c>
      <c r="H32" s="37" t="s">
        <v>114</v>
      </c>
      <c r="I32" s="37">
        <f>D32-TIME(1,45,0)+24</f>
        <v>24.6875</v>
      </c>
      <c r="J32" s="33" t="s">
        <v>12</v>
      </c>
      <c r="K32" s="33" t="s">
        <v>12</v>
      </c>
      <c r="L32" s="33" t="s">
        <v>12</v>
      </c>
      <c r="M32" s="33" t="s">
        <v>12</v>
      </c>
      <c r="N32" s="33" t="s">
        <v>12</v>
      </c>
      <c r="O32" s="39" t="s">
        <v>12</v>
      </c>
      <c r="P32" s="34" t="s">
        <v>12</v>
      </c>
      <c r="Q32" s="29"/>
    </row>
    <row r="33" spans="1:17" ht="15" customHeight="1" x14ac:dyDescent="0.35">
      <c r="A33" s="35" t="s">
        <v>89</v>
      </c>
      <c r="B33" s="47" t="s">
        <v>41</v>
      </c>
      <c r="C33" s="47" t="s">
        <v>39</v>
      </c>
      <c r="D33" s="36">
        <v>0.4201388888888889</v>
      </c>
      <c r="E33" s="37">
        <f>D33-TIME(6,0,0)+24</f>
        <v>24.170138888888889</v>
      </c>
      <c r="F33" s="37" t="s">
        <v>114</v>
      </c>
      <c r="G33" s="37" t="s">
        <v>114</v>
      </c>
      <c r="H33" s="37" t="s">
        <v>114</v>
      </c>
      <c r="I33" s="37">
        <f>D33-TIME(1,45,0)+24</f>
        <v>24.347222222222221</v>
      </c>
      <c r="J33" s="33" t="s">
        <v>12</v>
      </c>
      <c r="K33" s="33" t="s">
        <v>12</v>
      </c>
      <c r="L33" s="33" t="s">
        <v>12</v>
      </c>
      <c r="M33" s="33" t="s">
        <v>12</v>
      </c>
      <c r="N33" s="33" t="s">
        <v>12</v>
      </c>
      <c r="O33" s="39" t="s">
        <v>12</v>
      </c>
      <c r="P33" s="34" t="s">
        <v>12</v>
      </c>
      <c r="Q33" s="29"/>
    </row>
    <row r="34" spans="1:17" ht="15" customHeight="1" x14ac:dyDescent="0.35">
      <c r="A34" s="35" t="s">
        <v>90</v>
      </c>
      <c r="B34" s="47" t="s">
        <v>41</v>
      </c>
      <c r="C34" s="47" t="s">
        <v>39</v>
      </c>
      <c r="D34" s="36">
        <v>0.84027777777777779</v>
      </c>
      <c r="E34" s="37">
        <f>D34-TIME(6,0,0)+24</f>
        <v>24.590277777777779</v>
      </c>
      <c r="F34" s="37" t="s">
        <v>114</v>
      </c>
      <c r="G34" s="37" t="s">
        <v>114</v>
      </c>
      <c r="H34" s="37" t="s">
        <v>114</v>
      </c>
      <c r="I34" s="37">
        <f>D34-TIME(1,45,0)+24</f>
        <v>24.767361111111111</v>
      </c>
      <c r="J34" s="33" t="s">
        <v>12</v>
      </c>
      <c r="K34" s="33" t="s">
        <v>12</v>
      </c>
      <c r="L34" s="33" t="s">
        <v>12</v>
      </c>
      <c r="M34" s="33" t="s">
        <v>12</v>
      </c>
      <c r="N34" s="33" t="s">
        <v>12</v>
      </c>
      <c r="O34" s="39" t="s">
        <v>12</v>
      </c>
      <c r="P34" s="34" t="s">
        <v>12</v>
      </c>
      <c r="Q34" s="29"/>
    </row>
    <row r="35" spans="1:17" ht="15" customHeight="1" x14ac:dyDescent="0.35">
      <c r="A35" s="35" t="s">
        <v>18</v>
      </c>
      <c r="B35" s="47" t="s">
        <v>72</v>
      </c>
      <c r="C35" s="47" t="s">
        <v>38</v>
      </c>
      <c r="D35" s="36">
        <v>0.375</v>
      </c>
      <c r="E35" s="37">
        <f>D35-TIME(3,0,0)+24</f>
        <v>24.25</v>
      </c>
      <c r="F35" s="37" t="s">
        <v>114</v>
      </c>
      <c r="G35" s="37" t="s">
        <v>114</v>
      </c>
      <c r="H35" s="37">
        <f>D35-TIME(2,0,0)+24</f>
        <v>24.291666666666668</v>
      </c>
      <c r="I35" s="37">
        <f>D35-TIME(2,0,0)+24</f>
        <v>24.291666666666668</v>
      </c>
      <c r="J35" s="33" t="s">
        <v>12</v>
      </c>
      <c r="K35" s="33" t="s">
        <v>12</v>
      </c>
      <c r="L35" s="33" t="s">
        <v>12</v>
      </c>
      <c r="M35" s="33" t="s">
        <v>12</v>
      </c>
      <c r="N35" s="33" t="s">
        <v>12</v>
      </c>
      <c r="O35" s="39" t="s">
        <v>12</v>
      </c>
      <c r="P35" s="34" t="s">
        <v>12</v>
      </c>
      <c r="Q35" s="29"/>
    </row>
    <row r="36" spans="1:17" ht="15" customHeight="1" x14ac:dyDescent="0.35">
      <c r="A36" s="38" t="s">
        <v>57</v>
      </c>
      <c r="B36" s="47" t="s">
        <v>72</v>
      </c>
      <c r="C36" s="46" t="s">
        <v>38</v>
      </c>
      <c r="D36" s="31">
        <v>0.28472222222222221</v>
      </c>
      <c r="E36" s="37">
        <f t="shared" ref="E36:E58" si="4">D36-TIME(3,0,0)+24</f>
        <v>24.159722222222221</v>
      </c>
      <c r="F36" s="37" t="s">
        <v>114</v>
      </c>
      <c r="G36" s="37" t="s">
        <v>114</v>
      </c>
      <c r="H36" s="37">
        <f t="shared" ref="H36:H58" si="5">D36-TIME(2,0,0)+24</f>
        <v>24.201388888888889</v>
      </c>
      <c r="I36" s="37">
        <f t="shared" ref="I36:I58" si="6">D36-TIME(2,0,0)+24</f>
        <v>24.201388888888889</v>
      </c>
      <c r="J36" s="33" t="s">
        <v>12</v>
      </c>
      <c r="K36" s="33" t="s">
        <v>12</v>
      </c>
      <c r="L36" s="33" t="s">
        <v>12</v>
      </c>
      <c r="M36" s="33" t="s">
        <v>12</v>
      </c>
      <c r="N36" s="33" t="s">
        <v>12</v>
      </c>
      <c r="O36" s="39" t="s">
        <v>12</v>
      </c>
      <c r="P36" s="34" t="s">
        <v>12</v>
      </c>
      <c r="Q36" s="29"/>
    </row>
    <row r="37" spans="1:17" ht="15" customHeight="1" x14ac:dyDescent="0.35">
      <c r="A37" s="38" t="s">
        <v>76</v>
      </c>
      <c r="B37" s="47" t="s">
        <v>85</v>
      </c>
      <c r="C37" s="46" t="s">
        <v>77</v>
      </c>
      <c r="D37" s="31">
        <v>0.80902777777777779</v>
      </c>
      <c r="E37" s="37">
        <f t="shared" si="4"/>
        <v>24.684027777777779</v>
      </c>
      <c r="F37" s="37" t="s">
        <v>114</v>
      </c>
      <c r="G37" s="37" t="s">
        <v>114</v>
      </c>
      <c r="H37" s="37">
        <f t="shared" si="5"/>
        <v>24.725694444444443</v>
      </c>
      <c r="I37" s="37">
        <f t="shared" si="6"/>
        <v>24.725694444444443</v>
      </c>
      <c r="J37" s="33"/>
      <c r="K37" s="33" t="s">
        <v>12</v>
      </c>
      <c r="L37" s="33"/>
      <c r="M37" s="33" t="s">
        <v>12</v>
      </c>
      <c r="N37" s="33"/>
      <c r="O37" s="39" t="s">
        <v>12</v>
      </c>
      <c r="P37" s="34" t="s">
        <v>12</v>
      </c>
      <c r="Q37" s="29"/>
    </row>
    <row r="38" spans="1:17" ht="15" customHeight="1" x14ac:dyDescent="0.35">
      <c r="A38" s="38" t="s">
        <v>78</v>
      </c>
      <c r="B38" s="47" t="s">
        <v>72</v>
      </c>
      <c r="C38" s="46" t="s">
        <v>38</v>
      </c>
      <c r="D38" s="31">
        <v>0.46875</v>
      </c>
      <c r="E38" s="37">
        <f t="shared" si="4"/>
        <v>24.34375</v>
      </c>
      <c r="F38" s="37" t="s">
        <v>114</v>
      </c>
      <c r="G38" s="37" t="s">
        <v>114</v>
      </c>
      <c r="H38" s="37">
        <f t="shared" si="5"/>
        <v>24.385416666666668</v>
      </c>
      <c r="I38" s="37">
        <f t="shared" si="6"/>
        <v>24.385416666666668</v>
      </c>
      <c r="J38" s="33" t="s">
        <v>12</v>
      </c>
      <c r="K38" s="33" t="s">
        <v>12</v>
      </c>
      <c r="L38" s="33" t="s">
        <v>12</v>
      </c>
      <c r="M38" s="33" t="s">
        <v>12</v>
      </c>
      <c r="N38" s="33" t="s">
        <v>12</v>
      </c>
      <c r="O38" s="39" t="s">
        <v>12</v>
      </c>
      <c r="P38" s="34" t="s">
        <v>12</v>
      </c>
      <c r="Q38" s="29"/>
    </row>
    <row r="39" spans="1:17" ht="15" customHeight="1" x14ac:dyDescent="0.35">
      <c r="A39" s="38" t="s">
        <v>79</v>
      </c>
      <c r="B39" s="47" t="s">
        <v>72</v>
      </c>
      <c r="C39" s="46" t="s">
        <v>40</v>
      </c>
      <c r="D39" s="31">
        <v>0.5625</v>
      </c>
      <c r="E39" s="37">
        <f t="shared" si="4"/>
        <v>24.4375</v>
      </c>
      <c r="F39" s="37" t="s">
        <v>114</v>
      </c>
      <c r="G39" s="37" t="s">
        <v>114</v>
      </c>
      <c r="H39" s="37">
        <f t="shared" si="5"/>
        <v>24.479166666666668</v>
      </c>
      <c r="I39" s="37">
        <f t="shared" si="6"/>
        <v>24.479166666666668</v>
      </c>
      <c r="J39" s="33" t="s">
        <v>12</v>
      </c>
      <c r="K39" s="33" t="s">
        <v>12</v>
      </c>
      <c r="L39" s="33" t="s">
        <v>12</v>
      </c>
      <c r="M39" s="33" t="s">
        <v>12</v>
      </c>
      <c r="N39" s="33" t="s">
        <v>12</v>
      </c>
      <c r="O39" s="39" t="s">
        <v>12</v>
      </c>
      <c r="P39" s="34" t="s">
        <v>12</v>
      </c>
      <c r="Q39" s="29"/>
    </row>
    <row r="40" spans="1:17" ht="15" customHeight="1" x14ac:dyDescent="0.35">
      <c r="A40" s="38" t="s">
        <v>65</v>
      </c>
      <c r="B40" s="47" t="s">
        <v>72</v>
      </c>
      <c r="C40" s="46" t="s">
        <v>38</v>
      </c>
      <c r="D40" s="31">
        <v>4.1666666666666664E-2</v>
      </c>
      <c r="E40" s="37">
        <f t="shared" si="4"/>
        <v>23.916666666666668</v>
      </c>
      <c r="F40" s="37" t="s">
        <v>114</v>
      </c>
      <c r="G40" s="37" t="s">
        <v>114</v>
      </c>
      <c r="H40" s="37">
        <f t="shared" si="5"/>
        <v>23.958333333333332</v>
      </c>
      <c r="I40" s="37">
        <f t="shared" si="6"/>
        <v>23.958333333333332</v>
      </c>
      <c r="J40" s="33" t="s">
        <v>12</v>
      </c>
      <c r="K40" s="33" t="s">
        <v>12</v>
      </c>
      <c r="L40" s="33" t="s">
        <v>12</v>
      </c>
      <c r="M40" s="33" t="s">
        <v>12</v>
      </c>
      <c r="N40" s="33" t="s">
        <v>12</v>
      </c>
      <c r="O40" s="39" t="s">
        <v>12</v>
      </c>
      <c r="P40" s="34" t="s">
        <v>12</v>
      </c>
      <c r="Q40" s="29"/>
    </row>
    <row r="41" spans="1:17" ht="15" customHeight="1" x14ac:dyDescent="0.35">
      <c r="A41" s="38" t="s">
        <v>58</v>
      </c>
      <c r="B41" s="47" t="s">
        <v>72</v>
      </c>
      <c r="C41" s="46" t="s">
        <v>39</v>
      </c>
      <c r="D41" s="31">
        <v>0.38541666666666669</v>
      </c>
      <c r="E41" s="37">
        <f t="shared" si="4"/>
        <v>24.260416666666668</v>
      </c>
      <c r="F41" s="37" t="s">
        <v>114</v>
      </c>
      <c r="G41" s="37" t="s">
        <v>114</v>
      </c>
      <c r="H41" s="37">
        <f t="shared" si="5"/>
        <v>24.302083333333332</v>
      </c>
      <c r="I41" s="37">
        <f t="shared" si="6"/>
        <v>24.302083333333332</v>
      </c>
      <c r="J41" s="33" t="s">
        <v>12</v>
      </c>
      <c r="K41" s="33" t="s">
        <v>12</v>
      </c>
      <c r="L41" s="33" t="s">
        <v>12</v>
      </c>
      <c r="M41" s="33" t="s">
        <v>12</v>
      </c>
      <c r="N41" s="33" t="s">
        <v>12</v>
      </c>
      <c r="O41" s="39" t="s">
        <v>12</v>
      </c>
      <c r="P41" s="34" t="s">
        <v>12</v>
      </c>
      <c r="Q41" s="29"/>
    </row>
    <row r="42" spans="1:17" ht="15" customHeight="1" x14ac:dyDescent="0.35">
      <c r="A42" s="38" t="s">
        <v>19</v>
      </c>
      <c r="B42" s="47" t="s">
        <v>72</v>
      </c>
      <c r="C42" s="46" t="s">
        <v>39</v>
      </c>
      <c r="D42" s="31">
        <v>0.47916666666666669</v>
      </c>
      <c r="E42" s="37">
        <f t="shared" si="4"/>
        <v>24.354166666666668</v>
      </c>
      <c r="F42" s="37" t="s">
        <v>114</v>
      </c>
      <c r="G42" s="37" t="s">
        <v>114</v>
      </c>
      <c r="H42" s="37">
        <f t="shared" si="5"/>
        <v>24.395833333333332</v>
      </c>
      <c r="I42" s="37">
        <f t="shared" si="6"/>
        <v>24.395833333333332</v>
      </c>
      <c r="J42" s="33" t="s">
        <v>12</v>
      </c>
      <c r="K42" s="33" t="s">
        <v>12</v>
      </c>
      <c r="L42" s="33" t="s">
        <v>12</v>
      </c>
      <c r="M42" s="33" t="s">
        <v>12</v>
      </c>
      <c r="N42" s="33" t="s">
        <v>12</v>
      </c>
      <c r="O42" s="39" t="s">
        <v>12</v>
      </c>
      <c r="P42" s="34" t="s">
        <v>12</v>
      </c>
      <c r="Q42" s="29"/>
    </row>
    <row r="43" spans="1:17" ht="15" customHeight="1" x14ac:dyDescent="0.35">
      <c r="A43" s="38" t="s">
        <v>59</v>
      </c>
      <c r="B43" s="47" t="s">
        <v>72</v>
      </c>
      <c r="C43" s="46" t="s">
        <v>39</v>
      </c>
      <c r="D43" s="31">
        <v>0.73263888888888884</v>
      </c>
      <c r="E43" s="37">
        <f t="shared" si="4"/>
        <v>24.607638888888889</v>
      </c>
      <c r="F43" s="37" t="s">
        <v>114</v>
      </c>
      <c r="G43" s="37" t="s">
        <v>114</v>
      </c>
      <c r="H43" s="37">
        <f t="shared" si="5"/>
        <v>24.649305555555557</v>
      </c>
      <c r="I43" s="37">
        <f t="shared" si="6"/>
        <v>24.649305555555557</v>
      </c>
      <c r="J43" s="33" t="s">
        <v>12</v>
      </c>
      <c r="K43" s="33" t="s">
        <v>12</v>
      </c>
      <c r="L43" s="33" t="s">
        <v>12</v>
      </c>
      <c r="M43" s="33" t="s">
        <v>12</v>
      </c>
      <c r="N43" s="33" t="s">
        <v>12</v>
      </c>
      <c r="O43" s="39" t="s">
        <v>12</v>
      </c>
      <c r="P43" s="34" t="s">
        <v>12</v>
      </c>
      <c r="Q43" s="29"/>
    </row>
    <row r="44" spans="1:17" ht="15.75" customHeight="1" x14ac:dyDescent="0.35">
      <c r="A44" s="23" t="s">
        <v>60</v>
      </c>
      <c r="B44" s="47" t="s">
        <v>72</v>
      </c>
      <c r="C44" s="46" t="s">
        <v>35</v>
      </c>
      <c r="D44" s="24">
        <v>0.50347222222222221</v>
      </c>
      <c r="E44" s="37">
        <f t="shared" si="4"/>
        <v>24.378472222222221</v>
      </c>
      <c r="F44" s="37" t="s">
        <v>114</v>
      </c>
      <c r="G44" s="37" t="s">
        <v>114</v>
      </c>
      <c r="H44" s="37">
        <f t="shared" si="5"/>
        <v>24.420138888888889</v>
      </c>
      <c r="I44" s="37">
        <f t="shared" si="6"/>
        <v>24.420138888888889</v>
      </c>
      <c r="J44" s="33" t="s">
        <v>12</v>
      </c>
      <c r="K44" s="33" t="s">
        <v>12</v>
      </c>
      <c r="L44" s="33" t="s">
        <v>12</v>
      </c>
      <c r="M44" s="33" t="s">
        <v>12</v>
      </c>
      <c r="N44" s="33" t="s">
        <v>12</v>
      </c>
      <c r="O44" s="39" t="s">
        <v>12</v>
      </c>
      <c r="P44" s="34" t="s">
        <v>12</v>
      </c>
      <c r="Q44" s="29"/>
    </row>
    <row r="45" spans="1:17" ht="15.75" customHeight="1" x14ac:dyDescent="0.35">
      <c r="A45" s="23" t="s">
        <v>20</v>
      </c>
      <c r="B45" s="47" t="s">
        <v>72</v>
      </c>
      <c r="C45" s="46" t="s">
        <v>35</v>
      </c>
      <c r="D45" s="43">
        <v>0.1076388888888889</v>
      </c>
      <c r="E45" s="37">
        <f t="shared" si="4"/>
        <v>23.982638888888889</v>
      </c>
      <c r="F45" s="37" t="s">
        <v>114</v>
      </c>
      <c r="G45" s="37" t="s">
        <v>114</v>
      </c>
      <c r="H45" s="37">
        <f t="shared" si="5"/>
        <v>24.024305555555557</v>
      </c>
      <c r="I45" s="37">
        <f t="shared" si="6"/>
        <v>24.024305555555557</v>
      </c>
      <c r="J45" s="33" t="s">
        <v>12</v>
      </c>
      <c r="K45" s="33" t="s">
        <v>12</v>
      </c>
      <c r="L45" s="33" t="s">
        <v>12</v>
      </c>
      <c r="M45" s="33" t="s">
        <v>12</v>
      </c>
      <c r="N45" s="33" t="s">
        <v>12</v>
      </c>
      <c r="O45" s="39" t="s">
        <v>12</v>
      </c>
      <c r="P45" s="34" t="s">
        <v>12</v>
      </c>
      <c r="Q45" s="29"/>
    </row>
    <row r="46" spans="1:17" ht="15.75" customHeight="1" x14ac:dyDescent="0.35">
      <c r="A46" s="23" t="s">
        <v>61</v>
      </c>
      <c r="B46" s="47" t="s">
        <v>72</v>
      </c>
      <c r="C46" s="46" t="s">
        <v>35</v>
      </c>
      <c r="D46" s="24">
        <v>0.91666666666666663</v>
      </c>
      <c r="E46" s="37">
        <f t="shared" si="4"/>
        <v>24.791666666666668</v>
      </c>
      <c r="F46" s="37" t="s">
        <v>114</v>
      </c>
      <c r="G46" s="37" t="s">
        <v>114</v>
      </c>
      <c r="H46" s="37">
        <f t="shared" si="5"/>
        <v>24.833333333333332</v>
      </c>
      <c r="I46" s="37">
        <f t="shared" si="6"/>
        <v>24.833333333333332</v>
      </c>
      <c r="J46" s="33" t="s">
        <v>12</v>
      </c>
      <c r="K46" s="33" t="s">
        <v>12</v>
      </c>
      <c r="L46" s="33" t="s">
        <v>12</v>
      </c>
      <c r="M46" s="33" t="s">
        <v>12</v>
      </c>
      <c r="N46" s="33" t="s">
        <v>12</v>
      </c>
      <c r="O46" s="39" t="s">
        <v>12</v>
      </c>
      <c r="P46" s="34" t="s">
        <v>12</v>
      </c>
      <c r="Q46" s="29"/>
    </row>
    <row r="47" spans="1:17" ht="15.75" customHeight="1" x14ac:dyDescent="0.35">
      <c r="A47" s="23" t="s">
        <v>62</v>
      </c>
      <c r="B47" s="47" t="s">
        <v>85</v>
      </c>
      <c r="C47" s="46" t="s">
        <v>34</v>
      </c>
      <c r="D47" s="24">
        <v>0.99652777777777779</v>
      </c>
      <c r="E47" s="37">
        <f t="shared" si="4"/>
        <v>24.871527777777779</v>
      </c>
      <c r="F47" s="37" t="s">
        <v>114</v>
      </c>
      <c r="G47" s="37" t="s">
        <v>114</v>
      </c>
      <c r="H47" s="37">
        <f t="shared" si="5"/>
        <v>24.913194444444443</v>
      </c>
      <c r="I47" s="37">
        <f t="shared" si="6"/>
        <v>24.913194444444443</v>
      </c>
      <c r="J47" s="33" t="s">
        <v>12</v>
      </c>
      <c r="K47" s="33" t="s">
        <v>12</v>
      </c>
      <c r="L47" s="33" t="s">
        <v>12</v>
      </c>
      <c r="M47" s="33" t="s">
        <v>12</v>
      </c>
      <c r="N47" s="33" t="s">
        <v>12</v>
      </c>
      <c r="O47" s="39" t="s">
        <v>12</v>
      </c>
      <c r="P47" s="34" t="s">
        <v>12</v>
      </c>
      <c r="Q47" s="29"/>
    </row>
    <row r="48" spans="1:17" ht="15.75" customHeight="1" x14ac:dyDescent="0.35">
      <c r="A48" s="23" t="s">
        <v>63</v>
      </c>
      <c r="B48" s="47" t="s">
        <v>72</v>
      </c>
      <c r="C48" s="46" t="s">
        <v>64</v>
      </c>
      <c r="D48" s="24">
        <v>4.1666666666666664E-2</v>
      </c>
      <c r="E48" s="37">
        <f t="shared" si="4"/>
        <v>23.916666666666668</v>
      </c>
      <c r="F48" s="37" t="s">
        <v>114</v>
      </c>
      <c r="G48" s="37" t="s">
        <v>114</v>
      </c>
      <c r="H48" s="37">
        <f t="shared" si="5"/>
        <v>23.958333333333332</v>
      </c>
      <c r="I48" s="37">
        <f t="shared" si="6"/>
        <v>23.958333333333332</v>
      </c>
      <c r="J48" s="33" t="s">
        <v>12</v>
      </c>
      <c r="K48" s="33" t="s">
        <v>12</v>
      </c>
      <c r="L48" s="33" t="s">
        <v>12</v>
      </c>
      <c r="M48" s="33" t="s">
        <v>12</v>
      </c>
      <c r="N48" s="33" t="s">
        <v>12</v>
      </c>
      <c r="O48" s="39" t="s">
        <v>12</v>
      </c>
      <c r="P48" s="34" t="s">
        <v>12</v>
      </c>
      <c r="Q48" s="29"/>
    </row>
    <row r="49" spans="1:17" ht="15.75" customHeight="1" x14ac:dyDescent="0.35">
      <c r="A49" s="23" t="s">
        <v>80</v>
      </c>
      <c r="B49" s="47" t="s">
        <v>72</v>
      </c>
      <c r="C49" s="46" t="s">
        <v>81</v>
      </c>
      <c r="D49" s="24">
        <v>0.31597222222222221</v>
      </c>
      <c r="E49" s="37">
        <f t="shared" si="4"/>
        <v>24.190972222222221</v>
      </c>
      <c r="F49" s="37" t="s">
        <v>114</v>
      </c>
      <c r="G49" s="37" t="s">
        <v>114</v>
      </c>
      <c r="H49" s="37">
        <f t="shared" si="5"/>
        <v>24.232638888888889</v>
      </c>
      <c r="I49" s="37">
        <f t="shared" si="6"/>
        <v>24.232638888888889</v>
      </c>
      <c r="J49" s="33" t="s">
        <v>12</v>
      </c>
      <c r="K49" s="33" t="s">
        <v>12</v>
      </c>
      <c r="L49" s="33" t="s">
        <v>12</v>
      </c>
      <c r="M49" s="33" t="s">
        <v>12</v>
      </c>
      <c r="N49" s="33" t="s">
        <v>12</v>
      </c>
      <c r="O49" s="39" t="s">
        <v>12</v>
      </c>
      <c r="P49" s="34" t="s">
        <v>12</v>
      </c>
      <c r="Q49" s="29"/>
    </row>
    <row r="50" spans="1:17" ht="15.75" customHeight="1" x14ac:dyDescent="0.35">
      <c r="A50" s="23" t="s">
        <v>82</v>
      </c>
      <c r="B50" s="47" t="s">
        <v>72</v>
      </c>
      <c r="C50" s="46" t="s">
        <v>31</v>
      </c>
      <c r="D50" s="24">
        <v>0.63194444444444442</v>
      </c>
      <c r="E50" s="37">
        <f t="shared" si="4"/>
        <v>24.506944444444443</v>
      </c>
      <c r="F50" s="37" t="s">
        <v>114</v>
      </c>
      <c r="G50" s="37" t="s">
        <v>114</v>
      </c>
      <c r="H50" s="37">
        <f t="shared" si="5"/>
        <v>24.548611111111111</v>
      </c>
      <c r="I50" s="37">
        <f t="shared" si="6"/>
        <v>24.548611111111111</v>
      </c>
      <c r="J50" s="33" t="s">
        <v>12</v>
      </c>
      <c r="K50" s="33" t="s">
        <v>12</v>
      </c>
      <c r="L50" s="33" t="s">
        <v>12</v>
      </c>
      <c r="M50" s="33" t="s">
        <v>12</v>
      </c>
      <c r="N50" s="33" t="s">
        <v>12</v>
      </c>
      <c r="O50" s="39" t="s">
        <v>12</v>
      </c>
      <c r="P50" s="34" t="s">
        <v>12</v>
      </c>
      <c r="Q50" s="29"/>
    </row>
    <row r="51" spans="1:17" ht="15.75" customHeight="1" x14ac:dyDescent="0.35">
      <c r="A51" s="23" t="s">
        <v>83</v>
      </c>
      <c r="B51" s="47" t="s">
        <v>85</v>
      </c>
      <c r="C51" s="46" t="s">
        <v>37</v>
      </c>
      <c r="D51" s="24">
        <v>0.46527777777777773</v>
      </c>
      <c r="E51" s="37">
        <f t="shared" si="4"/>
        <v>24.340277777777779</v>
      </c>
      <c r="F51" s="37" t="s">
        <v>114</v>
      </c>
      <c r="G51" s="37" t="s">
        <v>114</v>
      </c>
      <c r="H51" s="37">
        <f t="shared" si="5"/>
        <v>24.381944444444443</v>
      </c>
      <c r="I51" s="37">
        <f t="shared" si="6"/>
        <v>24.381944444444443</v>
      </c>
      <c r="J51" s="33"/>
      <c r="K51" s="33" t="s">
        <v>12</v>
      </c>
      <c r="L51" s="33"/>
      <c r="M51" s="33" t="s">
        <v>12</v>
      </c>
      <c r="N51" s="33"/>
      <c r="O51" s="39" t="s">
        <v>12</v>
      </c>
      <c r="P51" s="34"/>
      <c r="Q51" s="29"/>
    </row>
    <row r="52" spans="1:17" ht="15.75" customHeight="1" x14ac:dyDescent="0.35">
      <c r="A52" s="23" t="s">
        <v>84</v>
      </c>
      <c r="B52" s="47" t="s">
        <v>85</v>
      </c>
      <c r="C52" s="46" t="s">
        <v>56</v>
      </c>
      <c r="D52" s="24">
        <v>0.82986111111111116</v>
      </c>
      <c r="E52" s="37">
        <f t="shared" si="4"/>
        <v>24.704861111111111</v>
      </c>
      <c r="F52" s="37" t="s">
        <v>114</v>
      </c>
      <c r="G52" s="37" t="s">
        <v>114</v>
      </c>
      <c r="H52" s="37">
        <f t="shared" si="5"/>
        <v>24.746527777777779</v>
      </c>
      <c r="I52" s="37">
        <f t="shared" si="6"/>
        <v>24.746527777777779</v>
      </c>
      <c r="J52" s="33"/>
      <c r="K52" s="33"/>
      <c r="L52" s="33" t="s">
        <v>12</v>
      </c>
      <c r="M52" s="33"/>
      <c r="N52" s="33" t="s">
        <v>12</v>
      </c>
      <c r="O52" s="39"/>
      <c r="P52" s="34" t="s">
        <v>12</v>
      </c>
      <c r="Q52" s="29"/>
    </row>
    <row r="53" spans="1:17" ht="15.75" customHeight="1" x14ac:dyDescent="0.35">
      <c r="A53" s="23" t="s">
        <v>86</v>
      </c>
      <c r="B53" s="47" t="s">
        <v>85</v>
      </c>
      <c r="C53" s="46" t="s">
        <v>87</v>
      </c>
      <c r="D53" s="24">
        <v>0.42708333333333331</v>
      </c>
      <c r="E53" s="37">
        <f t="shared" si="4"/>
        <v>24.302083333333332</v>
      </c>
      <c r="F53" s="37" t="s">
        <v>114</v>
      </c>
      <c r="G53" s="37" t="s">
        <v>114</v>
      </c>
      <c r="H53" s="37">
        <f t="shared" si="5"/>
        <v>24.34375</v>
      </c>
      <c r="I53" s="37">
        <f t="shared" si="6"/>
        <v>24.34375</v>
      </c>
      <c r="J53" s="33" t="s">
        <v>12</v>
      </c>
      <c r="K53" s="33"/>
      <c r="L53" s="33"/>
      <c r="M53" s="33"/>
      <c r="N53" s="33" t="s">
        <v>12</v>
      </c>
      <c r="O53" s="39"/>
      <c r="P53" s="34"/>
      <c r="Q53" s="40"/>
    </row>
    <row r="54" spans="1:17" ht="15.75" customHeight="1" x14ac:dyDescent="0.35">
      <c r="A54" s="23" t="s">
        <v>66</v>
      </c>
      <c r="B54" s="47" t="s">
        <v>72</v>
      </c>
      <c r="C54" s="46" t="s">
        <v>28</v>
      </c>
      <c r="D54" s="24">
        <v>0.40277777777777773</v>
      </c>
      <c r="E54" s="37">
        <f t="shared" si="4"/>
        <v>24.277777777777779</v>
      </c>
      <c r="F54" s="37" t="s">
        <v>114</v>
      </c>
      <c r="G54" s="37" t="s">
        <v>114</v>
      </c>
      <c r="H54" s="37">
        <f t="shared" si="5"/>
        <v>24.319444444444443</v>
      </c>
      <c r="I54" s="37">
        <f t="shared" si="6"/>
        <v>24.319444444444443</v>
      </c>
      <c r="J54" s="33" t="s">
        <v>12</v>
      </c>
      <c r="K54" s="33" t="s">
        <v>12</v>
      </c>
      <c r="L54" s="33" t="s">
        <v>12</v>
      </c>
      <c r="M54" s="33" t="s">
        <v>12</v>
      </c>
      <c r="N54" s="33" t="s">
        <v>12</v>
      </c>
      <c r="O54" s="39" t="s">
        <v>12</v>
      </c>
      <c r="P54" s="34" t="s">
        <v>12</v>
      </c>
      <c r="Q54" s="29"/>
    </row>
    <row r="55" spans="1:17" ht="15.75" customHeight="1" x14ac:dyDescent="0.35">
      <c r="A55" s="23" t="s">
        <v>73</v>
      </c>
      <c r="B55" s="47" t="s">
        <v>85</v>
      </c>
      <c r="C55" s="46" t="s">
        <v>75</v>
      </c>
      <c r="D55" s="24">
        <v>0.80902777777777779</v>
      </c>
      <c r="E55" s="37">
        <f t="shared" si="4"/>
        <v>24.684027777777779</v>
      </c>
      <c r="F55" s="37" t="s">
        <v>114</v>
      </c>
      <c r="G55" s="37" t="s">
        <v>114</v>
      </c>
      <c r="H55" s="37">
        <f t="shared" si="5"/>
        <v>24.725694444444443</v>
      </c>
      <c r="I55" s="37">
        <f t="shared" si="6"/>
        <v>24.725694444444443</v>
      </c>
      <c r="J55" s="33" t="s">
        <v>12</v>
      </c>
      <c r="K55" s="33"/>
      <c r="L55" s="33" t="s">
        <v>12</v>
      </c>
      <c r="M55" s="33"/>
      <c r="N55" s="33" t="s">
        <v>12</v>
      </c>
      <c r="O55" s="39"/>
      <c r="P55" s="34" t="s">
        <v>12</v>
      </c>
      <c r="Q55" s="29"/>
    </row>
    <row r="56" spans="1:17" ht="15.75" customHeight="1" x14ac:dyDescent="0.35">
      <c r="A56" s="23" t="s">
        <v>74</v>
      </c>
      <c r="B56" s="47" t="s">
        <v>72</v>
      </c>
      <c r="C56" s="46" t="s">
        <v>68</v>
      </c>
      <c r="D56" s="24">
        <v>0.40625</v>
      </c>
      <c r="E56" s="37">
        <f t="shared" si="4"/>
        <v>24.28125</v>
      </c>
      <c r="F56" s="37" t="s">
        <v>114</v>
      </c>
      <c r="G56" s="37" t="s">
        <v>114</v>
      </c>
      <c r="H56" s="37">
        <f t="shared" si="5"/>
        <v>24.322916666666668</v>
      </c>
      <c r="I56" s="37">
        <f t="shared" si="6"/>
        <v>24.322916666666668</v>
      </c>
      <c r="J56" s="33" t="s">
        <v>12</v>
      </c>
      <c r="K56" s="33" t="s">
        <v>12</v>
      </c>
      <c r="L56" s="33" t="s">
        <v>12</v>
      </c>
      <c r="M56" s="33" t="s">
        <v>12</v>
      </c>
      <c r="N56" s="33" t="s">
        <v>12</v>
      </c>
      <c r="O56" s="39" t="s">
        <v>12</v>
      </c>
      <c r="P56" s="34" t="s">
        <v>12</v>
      </c>
      <c r="Q56" s="29"/>
    </row>
    <row r="57" spans="1:17" ht="15.75" customHeight="1" x14ac:dyDescent="0.35">
      <c r="A57" s="23" t="s">
        <v>67</v>
      </c>
      <c r="B57" s="47" t="s">
        <v>72</v>
      </c>
      <c r="C57" s="46" t="s">
        <v>68</v>
      </c>
      <c r="D57" s="24">
        <v>0.34375</v>
      </c>
      <c r="E57" s="37">
        <f t="shared" si="4"/>
        <v>24.21875</v>
      </c>
      <c r="F57" s="37" t="s">
        <v>114</v>
      </c>
      <c r="G57" s="37" t="s">
        <v>114</v>
      </c>
      <c r="H57" s="37">
        <f t="shared" si="5"/>
        <v>24.260416666666668</v>
      </c>
      <c r="I57" s="37">
        <f t="shared" si="6"/>
        <v>24.260416666666668</v>
      </c>
      <c r="J57" s="33" t="s">
        <v>12</v>
      </c>
      <c r="K57" s="33" t="s">
        <v>12</v>
      </c>
      <c r="L57" s="33" t="s">
        <v>12</v>
      </c>
      <c r="M57" s="33" t="s">
        <v>12</v>
      </c>
      <c r="N57" s="33" t="s">
        <v>12</v>
      </c>
      <c r="O57" s="39" t="s">
        <v>12</v>
      </c>
      <c r="P57" s="34" t="s">
        <v>12</v>
      </c>
      <c r="Q57" s="29"/>
    </row>
    <row r="58" spans="1:17" ht="15.75" customHeight="1" x14ac:dyDescent="0.35">
      <c r="A58" s="23" t="s">
        <v>88</v>
      </c>
      <c r="B58" s="47" t="s">
        <v>72</v>
      </c>
      <c r="C58" s="46" t="s">
        <v>33</v>
      </c>
      <c r="D58" s="24">
        <v>0.6875</v>
      </c>
      <c r="E58" s="37">
        <f t="shared" si="4"/>
        <v>24.5625</v>
      </c>
      <c r="F58" s="37" t="s">
        <v>114</v>
      </c>
      <c r="G58" s="37" t="s">
        <v>114</v>
      </c>
      <c r="H58" s="37">
        <f t="shared" si="5"/>
        <v>24.604166666666668</v>
      </c>
      <c r="I58" s="37">
        <f t="shared" si="6"/>
        <v>24.604166666666668</v>
      </c>
      <c r="J58" s="33" t="s">
        <v>12</v>
      </c>
      <c r="K58" s="33" t="s">
        <v>12</v>
      </c>
      <c r="L58" s="33" t="s">
        <v>12</v>
      </c>
      <c r="M58" s="33" t="s">
        <v>12</v>
      </c>
      <c r="N58" s="33" t="s">
        <v>12</v>
      </c>
      <c r="O58" s="39" t="s">
        <v>12</v>
      </c>
      <c r="P58" s="34" t="s">
        <v>12</v>
      </c>
      <c r="Q58" s="29"/>
    </row>
    <row r="59" spans="1:17" ht="15.75" customHeight="1" x14ac:dyDescent="0.35">
      <c r="A59" s="44" t="s">
        <v>94</v>
      </c>
      <c r="B59" s="50" t="s">
        <v>72</v>
      </c>
      <c r="C59" s="50" t="s">
        <v>97</v>
      </c>
      <c r="D59" s="31">
        <v>0.3263888888888889</v>
      </c>
      <c r="E59" s="25">
        <f t="shared" ref="E59:E60" si="7">D59-TIME(2,0,0)+24</f>
        <v>24.243055555555557</v>
      </c>
      <c r="F59" s="25" t="s">
        <v>114</v>
      </c>
      <c r="G59" s="25" t="s">
        <v>114</v>
      </c>
      <c r="H59" s="25" t="s">
        <v>114</v>
      </c>
      <c r="I59" s="25">
        <f t="shared" ref="I59:I60" si="8">D59-TIME(2,0,0)+24</f>
        <v>24.243055555555557</v>
      </c>
      <c r="J59" s="26" t="s">
        <v>12</v>
      </c>
      <c r="K59" s="26" t="s">
        <v>12</v>
      </c>
      <c r="L59" s="26" t="s">
        <v>12</v>
      </c>
      <c r="M59" s="26" t="s">
        <v>12</v>
      </c>
      <c r="N59" s="26" t="s">
        <v>12</v>
      </c>
      <c r="O59" s="26" t="s">
        <v>12</v>
      </c>
      <c r="P59" s="28" t="s">
        <v>12</v>
      </c>
      <c r="Q59" s="29"/>
    </row>
    <row r="60" spans="1:17" ht="15.75" customHeight="1" x14ac:dyDescent="0.35">
      <c r="A60" s="44" t="s">
        <v>95</v>
      </c>
      <c r="B60" s="50" t="s">
        <v>72</v>
      </c>
      <c r="C60" s="50" t="s">
        <v>96</v>
      </c>
      <c r="D60" s="31">
        <v>0.57986111111111105</v>
      </c>
      <c r="E60" s="25">
        <f t="shared" si="7"/>
        <v>24.496527777777779</v>
      </c>
      <c r="F60" s="25" t="s">
        <v>114</v>
      </c>
      <c r="G60" s="25" t="s">
        <v>114</v>
      </c>
      <c r="H60" s="25" t="s">
        <v>114</v>
      </c>
      <c r="I60" s="25">
        <f t="shared" si="8"/>
        <v>24.496527777777779</v>
      </c>
      <c r="J60" s="26"/>
      <c r="K60" s="26"/>
      <c r="L60" s="26" t="s">
        <v>12</v>
      </c>
      <c r="M60" s="26"/>
      <c r="N60" s="26" t="s">
        <v>12</v>
      </c>
      <c r="O60" s="26"/>
      <c r="P60" s="28" t="s">
        <v>12</v>
      </c>
      <c r="Q60" s="29"/>
    </row>
    <row r="61" spans="1:17" ht="15.75" customHeight="1" x14ac:dyDescent="0.35">
      <c r="A61" s="44" t="s">
        <v>98</v>
      </c>
      <c r="B61" s="50" t="s">
        <v>49</v>
      </c>
      <c r="C61" s="50" t="s">
        <v>99</v>
      </c>
      <c r="D61" s="24">
        <v>0.3888888888888889</v>
      </c>
      <c r="E61" s="25">
        <f>D61-TIME(6,0,0)+24</f>
        <v>24.138888888888889</v>
      </c>
      <c r="F61" s="25" t="s">
        <v>114</v>
      </c>
      <c r="G61" s="25">
        <f>D61-TIME(2,0,0)+24</f>
        <v>24.305555555555557</v>
      </c>
      <c r="H61" s="25" t="s">
        <v>114</v>
      </c>
      <c r="I61" s="25">
        <f>D61-TIME(2,30,0)+24</f>
        <v>24.284722222222221</v>
      </c>
      <c r="J61" s="26" t="s">
        <v>12</v>
      </c>
      <c r="K61" s="26" t="s">
        <v>12</v>
      </c>
      <c r="L61" s="26" t="s">
        <v>12</v>
      </c>
      <c r="M61" s="26" t="s">
        <v>12</v>
      </c>
      <c r="N61" s="26" t="s">
        <v>12</v>
      </c>
      <c r="O61" s="26" t="s">
        <v>12</v>
      </c>
      <c r="P61" s="28" t="s">
        <v>12</v>
      </c>
      <c r="Q61" s="42" t="s">
        <v>125</v>
      </c>
    </row>
    <row r="62" spans="1:17" ht="15.75" customHeight="1" x14ac:dyDescent="0.35">
      <c r="A62" s="44" t="s">
        <v>100</v>
      </c>
      <c r="B62" s="50" t="s">
        <v>49</v>
      </c>
      <c r="C62" s="50" t="s">
        <v>99</v>
      </c>
      <c r="D62" s="24">
        <v>0.81597222222222221</v>
      </c>
      <c r="E62" s="25">
        <f>D62-TIME(6,0,0)+24</f>
        <v>24.565972222222221</v>
      </c>
      <c r="F62" s="25" t="s">
        <v>114</v>
      </c>
      <c r="G62" s="25">
        <f>D62-TIME(2,0,0)+24</f>
        <v>24.732638888888889</v>
      </c>
      <c r="H62" s="25" t="s">
        <v>114</v>
      </c>
      <c r="I62" s="25">
        <f>D62-TIME(2,30,0)+24</f>
        <v>24.711805555555557</v>
      </c>
      <c r="J62" s="26" t="s">
        <v>12</v>
      </c>
      <c r="K62" s="26" t="s">
        <v>12</v>
      </c>
      <c r="L62" s="26" t="s">
        <v>12</v>
      </c>
      <c r="M62" s="26" t="s">
        <v>12</v>
      </c>
      <c r="N62" s="26" t="s">
        <v>12</v>
      </c>
      <c r="O62" s="26" t="s">
        <v>12</v>
      </c>
      <c r="P62" s="28" t="s">
        <v>12</v>
      </c>
      <c r="Q62" s="42"/>
    </row>
    <row r="63" spans="1:17" ht="15.75" customHeight="1" x14ac:dyDescent="0.35">
      <c r="A63" s="44" t="s">
        <v>101</v>
      </c>
      <c r="B63" s="50" t="s">
        <v>46</v>
      </c>
      <c r="C63" s="50" t="s">
        <v>99</v>
      </c>
      <c r="D63" s="24">
        <v>0.19791666666666666</v>
      </c>
      <c r="E63" s="25">
        <f>D63-TIME(6,0,0)+24</f>
        <v>23.947916666666668</v>
      </c>
      <c r="F63" s="25" t="s">
        <v>114</v>
      </c>
      <c r="G63" s="25">
        <f>D63-TIME(3,0,0)+24</f>
        <v>24.072916666666668</v>
      </c>
      <c r="H63" s="25" t="s">
        <v>114</v>
      </c>
      <c r="I63" s="25">
        <f>D63-TIME(4,30,0)+24</f>
        <v>24.010416666666668</v>
      </c>
      <c r="J63" s="26"/>
      <c r="K63" s="26"/>
      <c r="L63" s="26"/>
      <c r="M63" s="26"/>
      <c r="N63" s="26" t="s">
        <v>12</v>
      </c>
      <c r="O63" s="26"/>
      <c r="P63" s="28" t="s">
        <v>134</v>
      </c>
      <c r="Q63" s="42" t="s">
        <v>115</v>
      </c>
    </row>
    <row r="64" spans="1:17" ht="15.75" customHeight="1" x14ac:dyDescent="0.35">
      <c r="A64" s="44" t="s">
        <v>102</v>
      </c>
      <c r="B64" s="50" t="s">
        <v>46</v>
      </c>
      <c r="C64" s="50" t="s">
        <v>99</v>
      </c>
      <c r="D64" s="24">
        <v>0.19791666666666666</v>
      </c>
      <c r="E64" s="25">
        <f>D64-TIME(6,0,0)+24</f>
        <v>23.947916666666668</v>
      </c>
      <c r="F64" s="25" t="s">
        <v>114</v>
      </c>
      <c r="G64" s="25">
        <f>D64-TIME(3,0,0)+24</f>
        <v>24.072916666666668</v>
      </c>
      <c r="H64" s="25" t="s">
        <v>114</v>
      </c>
      <c r="I64" s="25">
        <f>D64-TIME(4,30,0)+24</f>
        <v>24.010416666666668</v>
      </c>
      <c r="J64" s="26" t="s">
        <v>12</v>
      </c>
      <c r="K64" s="26"/>
      <c r="L64" s="26"/>
      <c r="M64" s="26" t="s">
        <v>133</v>
      </c>
      <c r="N64" s="26"/>
      <c r="O64" s="26"/>
      <c r="P64" s="28"/>
      <c r="Q64" s="42" t="s">
        <v>115</v>
      </c>
    </row>
    <row r="65" spans="1:17" ht="15.75" customHeight="1" x14ac:dyDescent="0.35">
      <c r="A65" s="44" t="s">
        <v>103</v>
      </c>
      <c r="B65" s="50" t="s">
        <v>49</v>
      </c>
      <c r="C65" s="50" t="s">
        <v>104</v>
      </c>
      <c r="D65" s="24">
        <v>0.60763888888888895</v>
      </c>
      <c r="E65" s="25">
        <f>D65-TIME(3,0,0)+24</f>
        <v>24.482638888888889</v>
      </c>
      <c r="F65" s="25" t="s">
        <v>114</v>
      </c>
      <c r="G65" s="25">
        <f t="shared" ref="G65" si="9">D65-TIME(2,0,0)+24</f>
        <v>24.524305555555557</v>
      </c>
      <c r="H65" s="25" t="s">
        <v>114</v>
      </c>
      <c r="I65" s="25">
        <f>D65-TIME(2,30,0)+24</f>
        <v>24.503472222222221</v>
      </c>
      <c r="J65" s="26"/>
      <c r="K65" s="26"/>
      <c r="L65" s="26"/>
      <c r="M65" s="26"/>
      <c r="N65" s="26"/>
      <c r="O65" s="26"/>
      <c r="P65" s="28"/>
      <c r="Q65" s="42"/>
    </row>
    <row r="66" spans="1:17" ht="15.75" customHeight="1" x14ac:dyDescent="0.35">
      <c r="A66" s="44" t="s">
        <v>123</v>
      </c>
      <c r="B66" s="50" t="s">
        <v>49</v>
      </c>
      <c r="C66" s="50" t="s">
        <v>27</v>
      </c>
      <c r="D66" s="24">
        <v>0.625</v>
      </c>
      <c r="E66" s="25">
        <f>D66-TIME(6,0,0)+24</f>
        <v>24.375</v>
      </c>
      <c r="F66" s="25">
        <v>0.45833333333333331</v>
      </c>
      <c r="G66" s="25">
        <v>0.54166666666666663</v>
      </c>
      <c r="H66" s="25" t="s">
        <v>114</v>
      </c>
      <c r="I66" s="25">
        <f>D66-TIME(2,0,0)+24</f>
        <v>24.541666666666668</v>
      </c>
      <c r="J66" s="26"/>
      <c r="K66" s="26"/>
      <c r="L66" s="26" t="s">
        <v>12</v>
      </c>
      <c r="M66" s="26" t="s">
        <v>12</v>
      </c>
      <c r="N66" s="26" t="s">
        <v>12</v>
      </c>
      <c r="O66" s="26" t="s">
        <v>12</v>
      </c>
      <c r="P66" s="28"/>
      <c r="Q66" s="42"/>
    </row>
    <row r="67" spans="1:17" ht="15.75" customHeight="1" x14ac:dyDescent="0.35">
      <c r="A67" s="44" t="s">
        <v>120</v>
      </c>
      <c r="B67" s="50" t="s">
        <v>69</v>
      </c>
      <c r="C67" s="50" t="s">
        <v>27</v>
      </c>
      <c r="D67" s="24">
        <v>0.66666666666666663</v>
      </c>
      <c r="E67" s="25">
        <f>D67-TIME(6,0,0)+24</f>
        <v>24.416666666666668</v>
      </c>
      <c r="F67" s="25">
        <v>0.46527777777777773</v>
      </c>
      <c r="G67" s="25">
        <v>0.54861111111111105</v>
      </c>
      <c r="H67" s="25" t="s">
        <v>114</v>
      </c>
      <c r="I67" s="25">
        <f>D67-TIME(1,30,0)+24</f>
        <v>24.604166666666668</v>
      </c>
      <c r="J67" s="26"/>
      <c r="K67" s="26"/>
      <c r="L67" s="26" t="s">
        <v>12</v>
      </c>
      <c r="M67" s="26" t="s">
        <v>12</v>
      </c>
      <c r="N67" s="26" t="s">
        <v>12</v>
      </c>
      <c r="O67" s="26" t="s">
        <v>12</v>
      </c>
      <c r="P67" s="28"/>
      <c r="Q67" s="42"/>
    </row>
    <row r="68" spans="1:17" ht="15.75" customHeight="1" thickBot="1" x14ac:dyDescent="0.4">
      <c r="A68" s="9" t="s">
        <v>17</v>
      </c>
      <c r="B68" s="10"/>
      <c r="C68" s="10"/>
      <c r="D68" s="10"/>
      <c r="E68" s="10"/>
      <c r="F68" s="10"/>
      <c r="G68" s="10"/>
      <c r="H68" s="10"/>
      <c r="I68" s="10"/>
      <c r="J68" s="7">
        <f t="shared" ref="J68:P68" si="10">COUNTIF(J6:J58,"=x")</f>
        <v>40</v>
      </c>
      <c r="K68" s="7">
        <f t="shared" si="10"/>
        <v>42</v>
      </c>
      <c r="L68" s="7">
        <f t="shared" si="10"/>
        <v>42</v>
      </c>
      <c r="M68" s="7">
        <f t="shared" si="10"/>
        <v>41</v>
      </c>
      <c r="N68" s="7">
        <f t="shared" si="10"/>
        <v>41</v>
      </c>
      <c r="O68" s="7">
        <f t="shared" si="10"/>
        <v>38</v>
      </c>
      <c r="P68" s="8">
        <f t="shared" si="10"/>
        <v>44</v>
      </c>
      <c r="Q68" s="45"/>
    </row>
    <row r="69" spans="1:17" ht="28" customHeight="1" x14ac:dyDescent="0.35"/>
    <row r="70" spans="1:17" ht="28" customHeight="1" x14ac:dyDescent="0.35"/>
    <row r="71" spans="1:17" ht="28" customHeight="1" x14ac:dyDescent="0.35"/>
    <row r="72" spans="1:17" ht="28" customHeight="1" x14ac:dyDescent="0.35"/>
    <row r="73" spans="1:17" ht="28" customHeight="1" x14ac:dyDescent="0.35">
      <c r="A73" s="4"/>
      <c r="B73" s="2"/>
      <c r="C73" s="2"/>
      <c r="D73" s="2"/>
    </row>
    <row r="74" spans="1:17" ht="28" customHeight="1" x14ac:dyDescent="0.35"/>
    <row r="75" spans="1:17" ht="28" customHeight="1" x14ac:dyDescent="0.35"/>
    <row r="76" spans="1:17" ht="28" customHeight="1" x14ac:dyDescent="0.35"/>
    <row r="77" spans="1:17" ht="28" customHeight="1" x14ac:dyDescent="0.35"/>
    <row r="78" spans="1:17" ht="28" customHeight="1" x14ac:dyDescent="0.35"/>
    <row r="79" spans="1:17" ht="28" customHeight="1" x14ac:dyDescent="0.35"/>
    <row r="80" spans="1:17" ht="28" customHeight="1" x14ac:dyDescent="0.35"/>
    <row r="81" ht="28" customHeight="1" x14ac:dyDescent="0.35"/>
    <row r="82" ht="24" customHeight="1" x14ac:dyDescent="0.35"/>
  </sheetData>
  <sortState xmlns:xlrd2="http://schemas.microsoft.com/office/spreadsheetml/2017/richdata2" ref="A6:O64">
    <sortCondition ref="A6:A64"/>
  </sortState>
  <mergeCells count="14">
    <mergeCell ref="F4:F5"/>
    <mergeCell ref="G4:G5"/>
    <mergeCell ref="A68:I68"/>
    <mergeCell ref="A1:P1"/>
    <mergeCell ref="A2:C3"/>
    <mergeCell ref="D2:P3"/>
    <mergeCell ref="J4:P4"/>
    <mergeCell ref="A4:A5"/>
    <mergeCell ref="E4:E5"/>
    <mergeCell ref="I4:I5"/>
    <mergeCell ref="C4:C5"/>
    <mergeCell ref="D4:D5"/>
    <mergeCell ref="B4:B5"/>
    <mergeCell ref="H4:H5"/>
  </mergeCells>
  <pageMargins left="0.22" right="0.2" top="0.17" bottom="0.17" header="0.17" footer="0.17"/>
  <pageSetup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Huu Duy Thuc</dc:creator>
  <cp:lastModifiedBy>DANG NAM NAM</cp:lastModifiedBy>
  <cp:lastPrinted>2026-04-19T17:42:51Z</cp:lastPrinted>
  <dcterms:created xsi:type="dcterms:W3CDTF">2011-08-03T06:29:09Z</dcterms:created>
  <dcterms:modified xsi:type="dcterms:W3CDTF">2026-04-19T17:43:19Z</dcterms:modified>
</cp:coreProperties>
</file>